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Admin\Documents\GitHub\auto-cv-processing\docs\test-document\"/>
    </mc:Choice>
  </mc:AlternateContent>
  <xr:revisionPtr revIDLastSave="0" documentId="8_{E6715F17-6CFF-4957-BB23-8919C6FBC314}" xr6:coauthVersionLast="47" xr6:coauthVersionMax="47" xr10:uidLastSave="{00000000-0000-0000-0000-000000000000}"/>
  <bookViews>
    <workbookView xWindow="-120" yWindow="-120" windowWidth="29040" windowHeight="15720" tabRatio="656" firstSheet="2" activeTab="6" xr2:uid="{00000000-000D-0000-FFFF-FFFF00000000}"/>
  </bookViews>
  <sheets>
    <sheet name="Trang bìa" sheetId="1" r:id="rId1"/>
    <sheet name="Tổng hợp" sheetId="2" r:id="rId2"/>
    <sheet name="API_dang_nhap_extension" sheetId="3" r:id="rId3"/>
    <sheet name="API_lay_thong_tin_user" sheetId="4" r:id="rId4"/>
    <sheet name="API_lam_moi_phien_đn" sheetId="5" r:id="rId5"/>
    <sheet name="Convention" sheetId="8" r:id="rId6"/>
    <sheet name="API_lay_DS_JD_da_dong_bo" sheetId="9" r:id="rId7"/>
  </sheets>
  <definedNames>
    <definedName name="FUNC_PASS" localSheetId="4">LAMBDA(IF(AND(#REF!&lt;&gt;"",#REF!&lt;&gt; ""), IF(#REF!="", "P",#REF!), ""))</definedName>
    <definedName name="FUNC_PASS" localSheetId="3">LAMBDA(IF(AND(#REF!&lt;&gt;"",#REF!&lt;&gt; ""), IF(#REF!="", "P",#REF!), ""))</definedName>
    <definedName name="FUNC_PASS">LAMBDA(IF(AND(#REF!&lt;&gt;"",#REF!&lt;&gt; ""), IF(#REF!="", "P",#REF!), ""))</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Our4lSmSZy8CUuC2D4lF52eq9A/w4n+0yTxT4mxvwxc="/>
    </ext>
  </extLst>
</workbook>
</file>

<file path=xl/calcChain.xml><?xml version="1.0" encoding="utf-8"?>
<calcChain xmlns="http://schemas.openxmlformats.org/spreadsheetml/2006/main">
  <c r="F8" i="2" l="1"/>
  <c r="C8" i="2"/>
  <c r="N39" i="5"/>
  <c r="A39" i="5"/>
  <c r="A38" i="5"/>
  <c r="N37" i="5"/>
  <c r="A37" i="5"/>
  <c r="A36" i="5"/>
  <c r="N35" i="5"/>
  <c r="A35" i="5"/>
  <c r="N34" i="5"/>
  <c r="A34" i="5"/>
  <c r="N33" i="5"/>
  <c r="A33" i="5"/>
  <c r="N32" i="5"/>
  <c r="A32" i="5"/>
  <c r="N31" i="5"/>
  <c r="A31" i="5"/>
  <c r="A30" i="5"/>
  <c r="N29" i="5"/>
  <c r="A29" i="5"/>
  <c r="N28" i="5"/>
  <c r="A28" i="5"/>
  <c r="N27" i="5"/>
  <c r="A27" i="5"/>
  <c r="N26" i="5"/>
  <c r="A26" i="5"/>
  <c r="N25" i="5"/>
  <c r="A25" i="5"/>
  <c r="N24" i="5"/>
  <c r="A24" i="5"/>
  <c r="N23" i="5"/>
  <c r="A23" i="5"/>
  <c r="A22" i="5"/>
  <c r="A21" i="5"/>
  <c r="A20" i="5"/>
  <c r="A19" i="5"/>
  <c r="N18" i="5"/>
  <c r="A18" i="5"/>
  <c r="N17" i="5"/>
  <c r="A17" i="5"/>
  <c r="N16" i="5"/>
  <c r="A16" i="5"/>
  <c r="A15" i="5"/>
  <c r="A14" i="5"/>
  <c r="D8" i="5"/>
  <c r="N33" i="4"/>
  <c r="A33" i="4"/>
  <c r="A32" i="4"/>
  <c r="N31" i="4"/>
  <c r="A31" i="4"/>
  <c r="A30" i="4"/>
  <c r="A29" i="4"/>
  <c r="N28" i="4"/>
  <c r="A28" i="4"/>
  <c r="N27" i="4"/>
  <c r="A27" i="4"/>
  <c r="A26" i="4"/>
  <c r="N25" i="4"/>
  <c r="A25" i="4"/>
  <c r="N24" i="4"/>
  <c r="A24" i="4"/>
  <c r="N23" i="4"/>
  <c r="D4" i="4" s="1"/>
  <c r="A23" i="4"/>
  <c r="A22" i="4"/>
  <c r="A21" i="4"/>
  <c r="A20" i="4"/>
  <c r="A19" i="4"/>
  <c r="N18" i="4"/>
  <c r="A18" i="4"/>
  <c r="N17" i="4"/>
  <c r="A17" i="4"/>
  <c r="N16" i="4"/>
  <c r="A16" i="4"/>
  <c r="A15" i="4"/>
  <c r="A14" i="4"/>
  <c r="D8" i="4"/>
  <c r="G6" i="2" s="1"/>
  <c r="D6" i="4"/>
  <c r="E6" i="2" s="1"/>
  <c r="N50" i="3"/>
  <c r="A50" i="3"/>
  <c r="A49" i="3"/>
  <c r="N48" i="3"/>
  <c r="A48" i="3"/>
  <c r="A47" i="3"/>
  <c r="N46" i="3"/>
  <c r="A46" i="3"/>
  <c r="N45" i="3"/>
  <c r="A45" i="3"/>
  <c r="N44" i="3"/>
  <c r="A44" i="3"/>
  <c r="N43" i="3"/>
  <c r="A43" i="3"/>
  <c r="N42" i="3"/>
  <c r="A42" i="3"/>
  <c r="N41" i="3"/>
  <c r="A41" i="3"/>
  <c r="A40" i="3"/>
  <c r="N39" i="3"/>
  <c r="A39" i="3"/>
  <c r="N38" i="3"/>
  <c r="A38" i="3"/>
  <c r="N37" i="3"/>
  <c r="A37" i="3"/>
  <c r="N36" i="3"/>
  <c r="A36" i="3"/>
  <c r="N35" i="3"/>
  <c r="A35" i="3"/>
  <c r="N34" i="3"/>
  <c r="A34" i="3"/>
  <c r="N33" i="3"/>
  <c r="A33" i="3"/>
  <c r="N32" i="3"/>
  <c r="A32" i="3"/>
  <c r="A31" i="3"/>
  <c r="N30" i="3"/>
  <c r="A30" i="3"/>
  <c r="N29" i="3"/>
  <c r="A29" i="3"/>
  <c r="N28" i="3"/>
  <c r="A28" i="3"/>
  <c r="N27" i="3"/>
  <c r="A27" i="3"/>
  <c r="N26" i="3"/>
  <c r="A26" i="3"/>
  <c r="N25" i="3"/>
  <c r="A25" i="3"/>
  <c r="N24" i="3"/>
  <c r="A24" i="3"/>
  <c r="N23" i="3"/>
  <c r="A23" i="3"/>
  <c r="A22" i="3"/>
  <c r="A21" i="3"/>
  <c r="A20" i="3"/>
  <c r="A19" i="3"/>
  <c r="N18" i="3"/>
  <c r="A18" i="3"/>
  <c r="N17" i="3"/>
  <c r="D5" i="3" s="1"/>
  <c r="D5" i="2" s="1"/>
  <c r="A17" i="3"/>
  <c r="N16" i="3"/>
  <c r="A16" i="3"/>
  <c r="A15" i="3"/>
  <c r="A14" i="3"/>
  <c r="D8" i="3"/>
  <c r="G8" i="2"/>
  <c r="E8" i="2"/>
  <c r="D8" i="2"/>
  <c r="B8" i="2"/>
  <c r="B7" i="2"/>
  <c r="B6" i="2"/>
  <c r="G5" i="2"/>
  <c r="B5" i="2"/>
  <c r="D6" i="5" l="1"/>
  <c r="E7" i="2" s="1"/>
  <c r="D5" i="4"/>
  <c r="D6" i="2" s="1"/>
  <c r="I6" i="2" s="1"/>
  <c r="D4" i="3"/>
  <c r="C6" i="2" s="1"/>
  <c r="I8" i="2"/>
  <c r="I5" i="2"/>
  <c r="H8" i="2"/>
  <c r="J8" i="2"/>
  <c r="D5" i="5"/>
  <c r="D7" i="2" s="1"/>
  <c r="I7" i="2" s="1"/>
  <c r="D4" i="5"/>
  <c r="C7" i="2" s="1"/>
  <c r="D6" i="3"/>
  <c r="E5" i="2" s="1"/>
  <c r="E9" i="2" s="1"/>
  <c r="G7" i="2"/>
  <c r="G9" i="2" s="1"/>
  <c r="C5" i="2" l="1"/>
  <c r="D7" i="4"/>
  <c r="F6" i="2" s="1"/>
  <c r="D7" i="3"/>
  <c r="F5" i="2" s="1"/>
  <c r="C9" i="2"/>
  <c r="J5" i="2"/>
  <c r="H5" i="2"/>
  <c r="J6" i="2"/>
  <c r="H6" i="2"/>
  <c r="J7" i="2"/>
  <c r="H7" i="2"/>
  <c r="D9" i="2"/>
  <c r="I9" i="2" s="1"/>
  <c r="D7" i="5"/>
  <c r="F7" i="2" s="1"/>
  <c r="J9" i="2" l="1"/>
  <c r="H9" i="2"/>
  <c r="F9" i="2"/>
  <c r="D8"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N16" i="9"/>
  <c r="N17" i="9"/>
  <c r="N19" i="9"/>
  <c r="N20" i="9"/>
  <c r="N23" i="9"/>
  <c r="N24" i="9"/>
  <c r="N25" i="9"/>
  <c r="N26" i="9"/>
  <c r="N27" i="9"/>
  <c r="N28" i="9"/>
  <c r="N29" i="9"/>
  <c r="N30" i="9"/>
  <c r="N31" i="9"/>
  <c r="N32" i="9"/>
  <c r="N34" i="9"/>
  <c r="N35" i="9"/>
  <c r="N36" i="9"/>
  <c r="N37" i="9"/>
  <c r="N38" i="9"/>
  <c r="N39" i="9"/>
  <c r="N40" i="9"/>
  <c r="N41" i="9"/>
  <c r="N42" i="9"/>
  <c r="N43" i="9"/>
  <c r="N45" i="9"/>
  <c r="N46" i="9"/>
  <c r="N47" i="9"/>
  <c r="N48" i="9"/>
  <c r="N49" i="9"/>
  <c r="N50" i="9"/>
  <c r="N51" i="9"/>
  <c r="N52" i="9"/>
  <c r="N53" i="9"/>
  <c r="N54" i="9"/>
  <c r="N56" i="9"/>
  <c r="N57" i="9"/>
  <c r="N58" i="9"/>
  <c r="N59" i="9"/>
  <c r="N60" i="9"/>
  <c r="N61" i="9"/>
  <c r="N63" i="9"/>
  <c r="N64" i="9"/>
  <c r="N65" i="9"/>
  <c r="N66" i="9"/>
  <c r="N67" i="9"/>
  <c r="N68" i="9"/>
  <c r="N69" i="9"/>
  <c r="N70" i="9"/>
  <c r="N71" i="9"/>
  <c r="N73" i="9"/>
  <c r="N74" i="9"/>
  <c r="N75" i="9"/>
  <c r="N76" i="9"/>
  <c r="N77" i="9"/>
  <c r="N78" i="9"/>
  <c r="N79" i="9"/>
  <c r="N80" i="9"/>
  <c r="N81" i="9"/>
  <c r="N82" i="9"/>
  <c r="N84" i="9"/>
  <c r="N85" i="9"/>
  <c r="N86" i="9"/>
  <c r="N87" i="9"/>
  <c r="N88" i="9"/>
  <c r="N89" i="9"/>
  <c r="N90" i="9"/>
  <c r="N91" i="9"/>
  <c r="N92" i="9"/>
  <c r="N93" i="9"/>
  <c r="N95" i="9"/>
  <c r="N96" i="9"/>
  <c r="N97" i="9"/>
  <c r="N98" i="9"/>
  <c r="N99" i="9"/>
  <c r="N100" i="9"/>
  <c r="N101" i="9"/>
  <c r="N104" i="9"/>
  <c r="N105" i="9"/>
  <c r="N106" i="9"/>
  <c r="N109" i="9"/>
  <c r="N110" i="9"/>
  <c r="N112" i="9"/>
  <c r="N113" i="9"/>
  <c r="N114" i="9"/>
  <c r="N115" i="9"/>
  <c r="D4" i="9" l="1"/>
  <c r="D6" i="9"/>
  <c r="D5" i="9"/>
  <c r="D7" i="9" l="1"/>
</calcChain>
</file>

<file path=xl/sharedStrings.xml><?xml version="1.0" encoding="utf-8"?>
<sst xmlns="http://schemas.openxmlformats.org/spreadsheetml/2006/main" count="1232" uniqueCount="526">
  <si>
    <t>CÔNG TY CỔ PHẦN GIẢI PHÁP CÔNG NGHỆ</t>
  </si>
  <si>
    <t>TÀI LIỆU KỊCH BẢN KIỂM THỬ CHỨC NĂNG</t>
  </si>
  <si>
    <t xml:space="preserve">Mã dự án   </t>
  </si>
  <si>
    <t>:HRM- Tuyển dụng</t>
  </si>
  <si>
    <t>Mã tài liệu</t>
  </si>
  <si>
    <t>KBKTCN</t>
  </si>
  <si>
    <t>Người lập:</t>
  </si>
  <si>
    <t>HÒA THỊ THU AN</t>
  </si>
  <si>
    <t>Ngày lập: 21/7/2026</t>
  </si>
  <si>
    <t>Người kiểm tra:</t>
  </si>
  <si>
    <t>….lead/người review</t>
  </si>
  <si>
    <t xml:space="preserve">Ngày kiểm tra: </t>
  </si>
  <si>
    <t>Người phê duyệt:</t>
  </si>
  <si>
    <t>Ngày phê duyệt:</t>
  </si>
  <si>
    <t>BẢNG GHI NHẬN THAY ĐỔI TÀI LIỆU</t>
  </si>
  <si>
    <t>Ngày thay đổi</t>
  </si>
  <si>
    <t>Vị trí thay đổi</t>
  </si>
  <si>
    <t>Lý do</t>
  </si>
  <si>
    <t>Nguồn gốc</t>
  </si>
  <si>
    <t>Phiên bản cũ</t>
  </si>
  <si>
    <t>Mô tả thay đổi</t>
  </si>
  <si>
    <t>Phiên bản mới</t>
  </si>
  <si>
    <t>Toàn bộ</t>
  </si>
  <si>
    <t>Thêm mới</t>
  </si>
  <si>
    <t>Thêm mới bộ test case</t>
  </si>
  <si>
    <t>v1.0</t>
  </si>
  <si>
    <t>TỔNG HỢP KẾT QUẢ</t>
  </si>
  <si>
    <t>STT</t>
  </si>
  <si>
    <t>Tên màn hình/chức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</si>
  <si>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</si>
  <si>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</si>
  <si>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</si>
  <si>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</si>
  <si>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</si>
  <si>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</si>
  <si>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</si>
  <si>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</si>
  <si>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Total</t>
  </si>
  <si>
    <t>KỊCH BẢN KIỂM THỬ *</t>
  </si>
  <si>
    <t>Tên màn hình/Tên chức năng</t>
  </si>
  <si>
    <t>API đăng nhập extension</t>
  </si>
  <si>
    <t>Mã testcase</t>
  </si>
  <si>
    <t>AU1</t>
  </si>
  <si>
    <t>Số testcase đạt (P)</t>
  </si>
  <si>
    <t>Số testcase không đạt (F)</t>
  </si>
  <si>
    <t>Số testcase đang xem xét (PE)</t>
  </si>
  <si>
    <t>Số testcase chưa test</t>
  </si>
  <si>
    <t>Tổng số testcase</t>
  </si>
  <si>
    <t>ID</t>
  </si>
  <si>
    <t>Mục đích kiểm thử</t>
  </si>
  <si>
    <t>Trường hợp kiểm thử</t>
  </si>
  <si>
    <t>Data test</t>
  </si>
  <si>
    <t>cURL</t>
  </si>
  <si>
    <t>Các bước thực hiện</t>
  </si>
  <si>
    <t>Kết quả mong muốn</t>
  </si>
  <si>
    <t>Thứ tự ưu tiên</t>
  </si>
  <si>
    <t>Mức độ nghiêm trọng</t>
  </si>
  <si>
    <t>Hình ảnh</t>
  </si>
  <si>
    <t>Manual test</t>
  </si>
  <si>
    <t>Kết quả test (M)</t>
  </si>
  <si>
    <t>Mã lỗi</t>
  </si>
  <si>
    <t>Ghi chú</t>
  </si>
  <si>
    <t>Postman</t>
  </si>
  <si>
    <t>Lần 1</t>
  </si>
  <si>
    <t>Lần 2</t>
  </si>
  <si>
    <t>Lần 3</t>
  </si>
  <si>
    <t>Chức năng: Đăng nhập extension
  Method: POST
  MT alpha: 
  Url: http://192.168.1.131:3002/api/auth/login
 body
 {
  "email":  "hr@example.com",
  "password":  "Test@123456"
  }</t>
  </si>
  <si>
    <t>Giao diện (Phần này viết các trường hợp kiểm thử cho giao diên chung và các giao diện cho các control)</t>
  </si>
  <si>
    <t>Kiểm tra truyền vào URL</t>
  </si>
  <si>
    <t>Kiểm tra path</t>
  </si>
  <si>
    <t>Sai đường dẫn</t>
  </si>
  <si>
    <t>http://192.168.1.131:3002/api/auth/login12</t>
  </si>
  <si>
    <t>1. Truyền sai path
2. Các trường required, method có dữ liệu hợp lệ</t>
  </si>
  <si>
    <t>1. Kết quả trả về:
  status 404</t>
  </si>
  <si>
    <t>MEDIUM</t>
  </si>
  <si>
    <t>MAJOR</t>
  </si>
  <si>
    <t>Không nhập đường dẫn</t>
  </si>
  <si>
    <t>Enter URL or text = null</t>
  </si>
  <si>
    <t>1. Không truyền path
2. Các trường required, method có dữ liệu hợp lệ</t>
  </si>
  <si>
    <t xml:space="preserve">Đường dẫn đúng
</t>
  </si>
  <si>
    <t xml:space="preserve"> {
   "email":  "hr@example.com",
   "password":  "Test@123456"
  }</t>
  </si>
  <si>
    <t>1. Truyền path đúng
2. Các trường required, method có dữ liệu hợp lệ</t>
  </si>
  <si>
    <t>1. Kết quả trả về:
{
    "accessToken": "jwt...",
    "refreshToken": "refresh...",
    "user": {
        "id": "user-id",
        "email": "hr.test@example.com",
        "role": "HR",
    }
}</t>
  </si>
  <si>
    <t>HIGH</t>
  </si>
  <si>
    <t>Kiểm tra method</t>
  </si>
  <si>
    <t>Kiểm tra truyền đúng method</t>
  </si>
  <si>
    <t>Method: POST
 {
   "email":  "hr@example.com",
   "password":  "Test@123456"
  }</t>
  </si>
  <si>
    <t>1. Truyền path đúng
2. Truyền method đúng
3. Các trường required có dữ liệu hợp lệ</t>
  </si>
  <si>
    <t>Kiểm tra truyền sai method</t>
  </si>
  <si>
    <t>Method: GET
 {
   "email":  "hr@example.com",
   "password":  "Test@123456"
  }</t>
  </si>
  <si>
    <t>1. Truyền path đúng
2. Truyền method sai
3. Các trường required có dữ liệu hợp lệ</t>
  </si>
  <si>
    <t>Kiểm tra validate các trường thông tin</t>
  </si>
  <si>
    <t>Kiểm tra trường email</t>
  </si>
  <si>
    <t>Kiểm tra không truyền email</t>
  </si>
  <si>
    <t xml:space="preserve"> {
   "password":  "Test@123456"
 }</t>
  </si>
  <si>
    <t>1. Ko truyền email
2. Các trường required có dữ liệu hợp lệ
3. Nhấn send</t>
  </si>
  <si>
    <t>Hiển thị lỗi 401 Unauthorized - Authentication is required</t>
  </si>
  <si>
    <t>Kiểm tra truyền email = null</t>
  </si>
  <si>
    <t xml:space="preserve"> {
   "email":  null,
   "password":  "Test@123456"
  }</t>
  </si>
  <si>
    <t>1. email = data test
2. Các trường required có dữ liệu hợp lệ
3. Nhấn send</t>
  </si>
  <si>
    <t>Kiểm tra truyền email = rỗng</t>
  </si>
  <si>
    <t xml:space="preserve"> {
   "email":  "",
   "password":  "Test@123456"
  }</t>
  </si>
  <si>
    <t>Kiểm tra truyền email = chuỗi space</t>
  </si>
  <si>
    <t xml:space="preserve"> {
   "email":  " ",
   "password":  "Test@123456"
  }</t>
  </si>
  <si>
    <t>Kiểm tra truyền email tồn tại trong DB</t>
  </si>
  <si>
    <t>Kiểm tra truyền email có khoảng trắng đầu cuối</t>
  </si>
  <si>
    <t xml:space="preserve"> {
   "email":  " hr@example.com ",
   "password":  "Test@123456"
  }</t>
  </si>
  <si>
    <t>1. Trim space
2. Kết quả trả về:
{
    "accessToken": "jwt...",
    "refreshToken": "refresh...",
    "user": {
        "id": "user-id",
        "email": "hr.test@example.com",
        "role": "HR",
    }
}</t>
  </si>
  <si>
    <t>Kiểm tra truyền email không tồn tại trong DB</t>
  </si>
  <si>
    <t>{
   "email":  "test@example.com",
   "password":  "Test@123456"
  }</t>
  </si>
  <si>
    <t>Hiển thị lỗi 400 Bad Request - Request payload is invalid</t>
  </si>
  <si>
    <t>Kiểm tra truyền email khác kiểu dữ liệu String</t>
  </si>
  <si>
    <t>{
   "email":  123,
   "password":  "Test@123456"
  }</t>
  </si>
  <si>
    <t>Kiểm tra trường password</t>
  </si>
  <si>
    <t>Kiểm tra không truyền password</t>
  </si>
  <si>
    <t xml:space="preserve"> {
   "email":  "hr@example.com"
  }</t>
  </si>
  <si>
    <t>1. password = data test
2. Các trường required có dữ liệu hợp lệ
3. Nhấn send</t>
  </si>
  <si>
    <t>Kiểm tra truyền password = null</t>
  </si>
  <si>
    <t xml:space="preserve"> {
   "email":  "hr@example.com",
   "password":  null
  }</t>
  </si>
  <si>
    <t>Kiểm tra truyền password = rỗng</t>
  </si>
  <si>
    <t xml:space="preserve"> {
   "email":  "hr@example.com",
   "password":  ""
  }</t>
  </si>
  <si>
    <t>Kiểm tra truyền password = chuỗi space</t>
  </si>
  <si>
    <t xml:space="preserve"> {
   "email":  "hr@example.com",
   "password":  " "
  }</t>
  </si>
  <si>
    <t>Kiểm tra truyền password tồn tại trong DB</t>
  </si>
  <si>
    <t>Kiểm tra truyền password có khoảng trắng đầu cuối</t>
  </si>
  <si>
    <t xml:space="preserve"> {
   "email":  "hr@example.com",
   "password":  " Test@123456 "
  }</t>
  </si>
  <si>
    <t>Kiểm tra truyền password không tồn tại trong DB</t>
  </si>
  <si>
    <t xml:space="preserve"> {
   "email":  "hr@example.com",
   "password":  "123456"
  }</t>
  </si>
  <si>
    <t>Kiểm tra truyền password khác kiểu dữ liệu String</t>
  </si>
  <si>
    <t xml:space="preserve"> {
   "email":  "hr@example.com",
   "password":  123
  }</t>
  </si>
  <si>
    <t>Chức năng</t>
  </si>
  <si>
    <t>Kiểm tra khi API thực thi thành công</t>
  </si>
  <si>
    <t>Kiểm tra truyền email và password đã tồn tại trong DB</t>
  </si>
  <si>
    <t>1. Nhập các trường = data test
 2. Send request</t>
  </si>
  <si>
    <t>Kiểm tra khi API thực thi không thành công</t>
  </si>
  <si>
    <t>Kiểm tra truyền email, password không tồn tại trong DB</t>
  </si>
  <si>
    <t xml:space="preserve"> {
   "email":  "test@example.com",
   "password":  "123456"
  }</t>
  </si>
  <si>
    <t>1. Nhập các trường = data test
2. Send request</t>
  </si>
  <si>
    <t>Kiểm tra truyền email và password cùng tồn tại nhưng không thuộc cùng một user</t>
  </si>
  <si>
    <t xml:space="preserve"> {
   "email":  "hr@example.com",
   "password":  "user@123456"
  }</t>
  </si>
  <si>
    <t>Kiểm tra khi API thực thi khi server lỗi</t>
  </si>
  <si>
    <t>{
   "email":  "hr@example.com",
   "password":  " Test@123456 "
  }</t>
  </si>
  <si>
    <t>Hiển thị lỗi 500 Internal Server Error 
- Request could not be completed. Please retry later</t>
  </si>
  <si>
    <t>Kiểm tra send request nhiều lần/phút</t>
  </si>
  <si>
    <t>Kiểm tra send request nhỏ hơn hoặc bằng 5 lần/phút</t>
  </si>
  <si>
    <t xml:space="preserve"> 1. {
   "email":  "test@example.com",
   "password":  "123456"
  }
2. {
   "email":  "hr@example.com",
   "password":  " Test@123456 "
  }</t>
  </si>
  <si>
    <t>1. Nhập các trường = data test 1
2. Send request 4 lần
3. Nhập các trường = data test 2 
4. Send request</t>
  </si>
  <si>
    <t>1. Hiển thị lỗi 400 Bad Request - Request payload is invalid
2. Kết quả trả về:
{
    "accessToken": "jwt...",
    "refreshToken": "refresh...",
    "user": {
        "id": "user-id",
        "email": "hr.test@example.com",
        "role": "HR",
    }
}</t>
  </si>
  <si>
    <t xml:space="preserve">Kiểm tra send request nhiều hơn 5 lần/phút </t>
  </si>
  <si>
    <t>{
   "email":  "hr@example.com",
   "password":  " Test@123456 "
}</t>
  </si>
  <si>
    <t>1. Nhập các trường = data test
2. Send request 6 lần</t>
  </si>
  <si>
    <t>Hiển thị lỗi 429 Too many Request
- Too many requests. Please retry later</t>
  </si>
  <si>
    <t>Chức năng ảnh hưởng</t>
  </si>
  <si>
    <t>N/A</t>
  </si>
  <si>
    <t>An toàn thông tin (Các trường hợp kiểm thử đảm bảo an toàn thông tin theo hướng dẫn kiểm thử an toàn thông tin)</t>
  </si>
  <si>
    <t>API lấy thông tin user</t>
  </si>
  <si>
    <t>AU2</t>
  </si>
  <si>
    <t>Chức năng: Lấy thông tin user hiện tại
  Method: GET
  MT alpha: 
  Url: http://192.168.1.131:3002/api/auth/me
 Authorization: hợp lệ</t>
  </si>
  <si>
    <t>http://192.168.1.131:3002/api/auth/me12</t>
  </si>
  <si>
    <t>1. Truyền sai path
 2. Các trường required, method có dữ liệu hợp lệ</t>
  </si>
  <si>
    <t xml:space="preserve">1. Kết quả trả về:
  status 404
</t>
  </si>
  <si>
    <t>1. Không truyền path
 2. Các trường required, method có dữ liệu hợp lệ</t>
  </si>
  <si>
    <t>Đường dẫn đúng
 (pre: 
 1.Có tài khoản :
email = hr@example.com, password = Test@123456
 2. Login với acc trên để ấy accessToken từ api</t>
  </si>
  <si>
    <t>accessToken: eyJhbGciOiJIUzI1NiIsInR5cCI6IkpXVCJ9.eyJzdWIiOiJjMDFmMTJmMC1iODVkLTRlMjItODQyYS0wMzllOTY3NDJhNWMiLCJlbWFpbCI6ImhyLnRlc3RAZXhhbXBsZS5jb20iLCJyb2xlIjoiSFIiLCJpYXQiOjE3ODQxOTU4ODEsImV4cCI6MTc4NDE5Njc4MX0.-ODJkpCGjpHF3sN1VKlRGFKD5rvvM2cWNMZhkcl-6IU</t>
  </si>
  <si>
    <t>1. Truyền path đúng
 2. Các trường required, method có dữ liệu hợp lệ</t>
  </si>
  <si>
    <t>1. Kết quả trả về: 
{
  "id":  "id",
  "email":  "hr@example.com",
  "name":  "HR Test",
  "role":  "HR"
}</t>
  </si>
  <si>
    <t>Method: GET
accessToken: eyJhbGciOiJIUzI1NiIsInR5cCI6IkpXVCJ9.eyJzdWIiOiJjMDFmMTJmMC1iODVkLTRlMjItODQyYS0wMzllOTY3NDJhNWMiLCJlbWFpbCI6ImhyLnRlc3RAZXhhbXBsZS5jb20iLCJyb2xlIjoiSFIiLCJpYXQiOjE3ODQxOTU4ODEsImV4cCI6MTc4NDE5Njc4MX0.-ODJkpCGjpHF3sN1VKlRGFKD5rvvM2cWNMZhkcl-6IU</t>
  </si>
  <si>
    <t>Method: POST
accessToken: eyJhbGciOiJIUzI1NiIsInR5cCI6IkpXVCJ9.eyJzdWIiOiJjMDFmMTJmMC1iODVkLTRlMjItODQyYS0wMzllOTY3NDJhNWMiLCJlbWFpbCI6ImhyLnRlc3RAZXhhbXBsZS5jb20iLCJyb2xlIjoiSFIiLCJpYXQiOjE3ODQxOTU4ODEsImV4cCI6MTc4NDE5Njc4MX0.-ODJkpCGjpHF3sN1VKlRGFKD5rvvM2cWNMZhkcl-6IU</t>
  </si>
  <si>
    <t>Truyền Access Token vào Authorization</t>
  </si>
  <si>
    <t>Kiểm tra truyền Access Token</t>
  </si>
  <si>
    <t>Ko truyền Access Token</t>
  </si>
  <si>
    <t>AccessToken = null</t>
  </si>
  <si>
    <t>1. accessToken = datatest
2. Nhấn send</t>
  </si>
  <si>
    <t>Truyền Access Token (còn expires)</t>
  </si>
  <si>
    <t>`</t>
  </si>
  <si>
    <t>Truyền Access Token (đã hết expires)</t>
  </si>
  <si>
    <t>Kiểm tra lấy thông tin user thành công</t>
  </si>
  <si>
    <t>Kiểm tra truyền accessToken còn hạn</t>
  </si>
  <si>
    <t>Kiểm tra lấy thông tin user không thành công</t>
  </si>
  <si>
    <t>Kiểm tra truyền accessToken hết hạn</t>
  </si>
  <si>
    <t>Kiểm tra thực thi API khi có lỗi server</t>
  </si>
  <si>
    <t>Server lỗi</t>
  </si>
  <si>
    <t>API làm mới phiên đăng nhập</t>
  </si>
  <si>
    <t>AU3</t>
  </si>
  <si>
    <r>
      <rPr>
        <b/>
        <sz val="12"/>
        <color rgb="FF000000"/>
        <rFont val="Times New Roman"/>
      </rPr>
      <t xml:space="preserve">Chức năng: Làm mới phiên đăng nhập
  Method: POST
  MT alpha: 
  Url: </t>
    </r>
    <r>
      <rPr>
        <b/>
        <u/>
        <sz val="12"/>
        <color rgb="FF1155CC"/>
        <rFont val="Times New Roman"/>
      </rPr>
      <t>http://192.168.1.131:3002/api/auth/refresh</t>
    </r>
    <r>
      <rPr>
        <b/>
        <sz val="12"/>
        <color rgb="FF000000"/>
        <rFont val="Times New Roman"/>
      </rPr>
      <t xml:space="preserve">
body
{
    "refreshToken":  "rt_GTNHaj8Q3fvqfUYRfvNQzFCNYHTQn_8xvmfdIEPd2OQpcEufMxouZsiaB53ZI2XrnTq8d9rfULxdtyL7Ze5JnQ"
}</t>
    </r>
  </si>
  <si>
    <t>http://192.168.1.131:3002/api/auth/refresh12</t>
  </si>
  <si>
    <t>Đường dẫn đúng
 (pre: 
 1.Có tài khoản :
email = hr@example.com, password = Test@123456
 2. Login với acc trên để ấy refreshToken từ api</t>
  </si>
  <si>
    <t>{
    "refreshToken":  "rt_GTNHaj8Q3fvqfUYRfvNQzFCNYHTQn_8xvmfdIEPd2OQpcEufMxouZsiaB53ZI2XrnTq8d9rfULxdtyL7Ze5JnQ"
}</t>
  </si>
  <si>
    <t>1. Kết quả trả về:
  {
  "accessToken": "jwt...",
  "refreshToken": "refresh..."
 }</t>
  </si>
  <si>
    <t>Method: POST
{
    "refreshToken":  "rt_GTNHaj8Q3fvqfUYRfvNQzFCNYHTQn_8xvmfdIEPd2OQpcEufMxouZsiaB53ZI2XrnTq8d9rfULxdtyL7Ze5JnQ"
}</t>
  </si>
  <si>
    <t>Method: GET
{
    "refreshToken":  "rt_GTNHaj8Q3fvqfUYRfvNQzFCNYHTQn_8xvmfdIEPd2OQpcEufMxouZsiaB53ZI2XrnTq8d9rfULxdtyL7Ze5JnQ"
}</t>
  </si>
  <si>
    <t>Kiểm tra trường refeshToken</t>
  </si>
  <si>
    <t>Kiểm tra không truyền refreshToken</t>
  </si>
  <si>
    <t>{
}</t>
  </si>
  <si>
    <t>1. Ko truyền refreshToken
 2. Các trường required có dữ liệu hợp lệ
 3. Nhấn send</t>
  </si>
  <si>
    <t>Hiển thị lỗi 400 Bad Request  
- Message: "Request payload is invalid"</t>
  </si>
  <si>
    <t>Kiểm tra truyền refreshToken = null</t>
  </si>
  <si>
    <t>{
    "refreshToken":  null
}</t>
  </si>
  <si>
    <t>1. refreshToken = data test
 2. Các trường required có dữ liệu hợp lệ
 3. Nhấn send</t>
  </si>
  <si>
    <t>Kiểm tra truyền refreshToken = rỗng</t>
  </si>
  <si>
    <t>{
    "refreshToken":  ""
}</t>
  </si>
  <si>
    <t>Kiểm tra truyền refreshToken = chuỗi space</t>
  </si>
  <si>
    <t>{
    "refreshToken":  " "
}</t>
  </si>
  <si>
    <t>Hiển thị lỗi 401 Unauthorized
- Authentication is required</t>
  </si>
  <si>
    <t>Kiểm tra truyền refreshToken được cấp sau khi đăng nhập</t>
  </si>
  <si>
    <t>Kiểm tra truyền password refreshToken không tồn tại trong hệ thống</t>
  </si>
  <si>
    <t>{
    "refreshToken":  "rt_GTNHaj8Q3fvqfUYRfvNQzFCNYHTQn_8xvmfdIEPd2OQpcEufMxouZsiaB53ZI2XrnTq8d9rfULxdtyL7Ze5JnQ12"
}</t>
  </si>
  <si>
    <t>Kiểm tra truyền refreshToken khác kiểu dữ liệu String</t>
  </si>
  <si>
    <t>{
    "refreshToken":  123
}</t>
  </si>
  <si>
    <t>Kiểm tra truyền refreshToken đã cấp khi đăng nhập</t>
  </si>
  <si>
    <t>Kiểm tra truyền refreshToken không tồn tại</t>
  </si>
  <si>
    <t>Kiểm tra send request nhỏ hơn hoặc bằng 30 lần/phút</t>
  </si>
  <si>
    <t>1. Nhập các trường = data test
 2. Send request 30 lần</t>
  </si>
  <si>
    <t>Kiểm tra send request nhiều hơn 30 lần/phút</t>
  </si>
  <si>
    <t>1. Nhập các trường = data test
 2. Send request 31 lần</t>
  </si>
  <si>
    <t>CONVENTION</t>
  </si>
  <si>
    <t>MÔ TẢ</t>
  </si>
  <si>
    <t>Đây là trường bắt buộc, thể hiện số thứ tự các test case.</t>
  </si>
  <si>
    <t>ID được đánh theo format Mã chức năng kiểm thử_Số thứ tự</t>
  </si>
  <si>
    <t>Số thứ tự tăng dần, theo công thức có sẵn</t>
  </si>
  <si>
    <t>Bắt buộc test case mở đầu bằng 1 trong các từ : Kiểm tra hoặc Verify. 
Ví dụ: Kiểm tra khi gửi bản tin trừ tiền sang ngân hàng….</t>
  </si>
  <si>
    <t>Mô tả ngắn gọn, chính xác trường hợp cần kiểm tra tương ứng mục đích kiểm thử. 
Ví dụ, với mục đích kiểm thử ở mục 2 có các trường hợp: Số dư không đủ hoặc Số tài khoản thụ hưởng không tồn tại, …</t>
  </si>
  <si>
    <t>Tuỳ theo cách phân rã, trường hợp kiểm thử có thể là mục đích kiểm thử</t>
  </si>
  <si>
    <t>Mô tả các bước chuẩn bị dữ liệu đầu vào cho case tương ứng</t>
  </si>
  <si>
    <t>- Mô tả chi tiết từng bước một cho đến khi ra được kết quả mong muốn</t>
  </si>
  <si>
    <t>- Các case có nhiều bước thì bắt buộc đánh số thứ tự thực hiện .Eg: Step 1, Step 2,....</t>
  </si>
  <si>
    <t>- Mô tả kết quả mong muốn đúng với mục đích kiểm tra, đúng với yêu cầu khách hàng
- Một test case có thể có nhiều expected result.  Mỗi expected result tách ra 1 hàng</t>
  </si>
  <si>
    <t>Tên trình duyệt</t>
  </si>
  <si>
    <t>Với các trình duyệt thực hiện kiểm thử, yêu cầu điền chính xác trình duyệt và version thực hiện kiểm thử trên thực tế. Ví dụ Firefox 42 /Chrome/Android 8 /IOS 13….</t>
  </si>
  <si>
    <t>Kết quả test</t>
  </si>
  <si>
    <t>P</t>
  </si>
  <si>
    <t>Khi thực tế đúng với kết quả mong muốn</t>
  </si>
  <si>
    <t>F</t>
  </si>
  <si>
    <t>Khi thực tế không đúng kết quả mong muốn</t>
  </si>
  <si>
    <t>PE</t>
  </si>
  <si>
    <t>Khi không thể tạo được môi trường test hoặc trường hợp không thể xảy ra trên thực tế hoặc case không nằm trong phạm vi test của lần nâng cấp sửa đổi.</t>
  </si>
  <si>
    <t>Với các case có kết quả là F, yêu cầu cần điền mã lỗi là link tới ID lỗi được log trên Jira</t>
  </si>
  <si>
    <t>Với các case có kết quả là PE, ghi rõ lí do ở cột Ghi chú
Hoặc chú thích cho các trường hợp kết quả test là F nhưng không fix trong giai đoạn này</t>
  </si>
  <si>
    <t>Cách đặt tên file</t>
  </si>
  <si>
    <t>Đặt theo đúng format KBKTCN_Tên dự án_Tên phân hệ/Tên chức năng_version (trong đó version được đánh theo quy tắc tăng dần v1.0, v1.1)</t>
  </si>
  <si>
    <t>Cách đặt tên sheet</t>
  </si>
  <si>
    <t>Mỗi sheet được định nghĩa là 1 chức năng tương ứng với 1 màn hình
Đặt tên ngắn gọn, dễ hiểu có thể viết tắt nếu tên chức năng quá dài
Tuy nhiên khi đặt tên chú ý tên là tiếng việt không dấu và viết liền nhau với quy tắc với chữ cái đầu tiên sẽ viết hoa
Ví dụ màn hình chức năng Chuyển khoản theo SĐT sẽ đặt tên là ChuyenKhoanTheoSDT</t>
  </si>
  <si>
    <t>Quy định bố cục trong mỗi sheet</t>
  </si>
  <si>
    <t>Trong mỗi sheet, sẽ bao gồm n chức năng nhỏ trên màn hình. 
Mỗi chức năng sẽ bao gồm 3 phần: Giao diện, Chức năng và An toàn thông tin.</t>
  </si>
  <si>
    <t>Đối với 1 chức năng lớn, phần "Giao diện", "Chức năng", "An toàn thông tin" nếu không có phần nào, thì để N/A phần đó
Ví dụ: chức năng A không có UI/UX, khi viết testcase, phần Giao diện sẽ để N/A</t>
  </si>
  <si>
    <t>Được phép Hide các cột ứng với các trình duyệt mà không thực hiện kiểm thử (không được phép xóa vì sẽ ảnh hưởng đến công thức tính pass fail)</t>
  </si>
  <si>
    <t>API lấy danh sách JD đã đồng bộ</t>
  </si>
  <si>
    <t>JD</t>
  </si>
  <si>
    <t>Chức năng: API lấy danh sách JD đã đồng bộ
  Method: GET
  MT alpha:
  Url: http://192.168.1.131:3002/api/job-descriptions
  Authorization: Bearer &lt;validHrAccessToken&gt;
  Query params: page, limit, search, sourceSystem, status, latestSyncedOnly, sortBy, sortOrder
  Request body: N/A</t>
  </si>
  <si>
    <t>Kiểm tra validate request</t>
  </si>
  <si>
    <t>Kiểm tra validity của method</t>
  </si>
  <si>
    <t>Kiểm tra truyền đúng method của API (method = GET)</t>
  </si>
  <si>
    <t xml:space="preserve">Authorization: Bearer &lt;validHrAccessToken&gt;
Method: GET
URL: http://192.168.1.131:3002/api/job-descriptions
Query params:
N/A
Request body: N/A
</t>
  </si>
  <si>
    <t>curl -X GET "http://192.168.1.131:3002/api/job-descriptions" ^
  -H "Authorization: Bearer &lt;validHrAccessToken&gt;"</t>
  </si>
  <si>
    <t>1. Chuẩn bị accessToken theo Data test.
2. Gửi request GET /api/job-descriptions với header và query parameter như Data test.
3. Kiểm tra status code và response body.</t>
  </si>
  <si>
    <t>1. Kết quả trả về:
- Status code: 200 OK
- API thực thi thành công và trả về response như format chung</t>
  </si>
  <si>
    <t>Kiểm tra truyền sai method của API</t>
  </si>
  <si>
    <t xml:space="preserve">Authorization: Bearer &lt;validHrAccessToken&gt;
Method: POST
URL: http://192.168.1.131:3002/api/job-descriptions
Query params:
N/A
Request body: N/A
</t>
  </si>
  <si>
    <t>curl -X POST "http://192.168.1.131:3002/api/job-descriptions" ^
  -H "Authorization: Bearer &lt;validHrAccessToken&gt;"</t>
  </si>
  <si>
    <t>1. Kết quả trả về:
- Status code: 404 Not Found</t>
  </si>
  <si>
    <t>Kiểm tra validity của URL Request</t>
  </si>
  <si>
    <t>Kiểm tra truyền đúng URL Request của API</t>
  </si>
  <si>
    <t>Kiểm tra truyền sai URL Request của API</t>
  </si>
  <si>
    <t xml:space="preserve">Authorization: Bearer &lt;validHrAccessToken&gt;
Method: GET
URL: http://192.168.1.131:3002/api/job-descriptions/invalid
Query params:
N/A
Request body: N/A
</t>
  </si>
  <si>
    <t>curl -X GET "http://192.168.1.131:3002/api/job-descriptions/invalid" ^
  -H "Authorization: Bearer &lt;validHrAccessToken&gt;"</t>
  </si>
  <si>
    <t>Kiểm tra validate query parameter</t>
  </si>
  <si>
    <t>Kiểm tra trường page</t>
  </si>
  <si>
    <t>Kiểm tra không truyền page</t>
  </si>
  <si>
    <t>Kiểm tra truyền page = null/rỗng</t>
  </si>
  <si>
    <t xml:space="preserve">Authorization: Bearer &lt;validHrAccessToken&gt;
Method: GET
URL: http://192.168.1.131:3002/api/job-descriptions
Query params:
page=
Request body: N/A
</t>
  </si>
  <si>
    <t>curl -X GET "http://192.168.1.131:3002/api/job-descriptions?page=" ^
  -H "Authorization: Bearer &lt;validHrAccessToken&gt;"</t>
  </si>
  <si>
    <t>Kiểm tra truyền page &gt; 0</t>
  </si>
  <si>
    <t xml:space="preserve">Authorization: Bearer &lt;validHrAccessToken&gt;
Method: GET
URL: http://192.168.1.131:3002/api/job-descriptions
Query params:
page=1
Request body: N/A
</t>
  </si>
  <si>
    <t>curl -X GET "http://192.168.1.131:3002/api/job-descriptions?page=1" ^
  -H "Authorization: Bearer &lt;validHrAccessToken&gt;"</t>
  </si>
  <si>
    <t>1. Kết quả trả về:
- Status code: 200 OK
- API thực thi thành công và trả về response như format chung
- MM: response trả về trang dữ liệu tương ứng với page đã truyền</t>
  </si>
  <si>
    <t>Kiểm tra truyền page = chuỗi space</t>
  </si>
  <si>
    <t xml:space="preserve">Authorization: Bearer &lt;validHrAccessToken&gt;
Method: GET
URL: http://192.168.1.131:3002/api/job-descriptions
Query params:
page= 
Request body: N/A
</t>
  </si>
  <si>
    <t>curl -X GET "http://192.168.1.131:3002/api/job-descriptions?page=%20" ^
  -H "Authorization: Bearer &lt;validHrAccessToken&gt;"</t>
  </si>
  <si>
    <t>1. Kết quả trả về:
- Status code: 400 Bad Request
- Message: Request payload is invalid</t>
  </si>
  <si>
    <t>Kiểm tra truyền page = 0</t>
  </si>
  <si>
    <t xml:space="preserve">Authorization: Bearer &lt;validHrAccessToken&gt;
Method: GET
URL: http://192.168.1.131:3002/api/job-descriptions
Query params:
page=0
Request body: N/A
</t>
  </si>
  <si>
    <t>curl -X GET "http://192.168.1.131:3002/api/job-descriptions?page=0" ^
  -H "Authorization: Bearer &lt;validHrAccessToken&gt;"</t>
  </si>
  <si>
    <t>Kiểm tra truyền page = &lt; 0</t>
  </si>
  <si>
    <t xml:space="preserve">Authorization: Bearer &lt;validHrAccessToken&gt;
Method: GET
URL: http://192.168.1.131:3002/api/job-descriptions
Query params:
page=-1
Request body: N/A
</t>
  </si>
  <si>
    <t>curl -X GET "http://192.168.1.131:3002/api/job-descriptions?page=-1" ^
  -H "Authorization: Bearer &lt;validHrAccessToken&gt;"</t>
  </si>
  <si>
    <t>Kiểm tra truyền page = số thực</t>
  </si>
  <si>
    <t xml:space="preserve">Authorization: Bearer &lt;validHrAccessToken&gt;
Method: GET
URL: http://192.168.1.131:3002/api/job-descriptions
Query params:
page=1.5
Request body: N/A
</t>
  </si>
  <si>
    <t>curl -X GET "http://192.168.1.131:3002/api/job-descriptions?page=1.5" ^
  -H "Authorization: Bearer &lt;validHrAccessToken&gt;"</t>
  </si>
  <si>
    <t>Kiểm tra truyền page = chữ</t>
  </si>
  <si>
    <t xml:space="preserve">Authorization: Bearer &lt;validHrAccessToken&gt;
Method: GET
URL: http://192.168.1.131:3002/api/job-descriptions
Query params:
page=abc
Request body: N/A
</t>
  </si>
  <si>
    <t>curl -X GET "http://192.168.1.131:3002/api/job-descriptions?page=abc" ^
  -H "Authorization: Bearer &lt;validHrAccessToken&gt;"</t>
  </si>
  <si>
    <t>Kiểm tra truyền page = ký tự đặc biệt</t>
  </si>
  <si>
    <t xml:space="preserve">Authorization: Bearer &lt;validHrAccessToken&gt;
Method: GET
URL: http://192.168.1.131:3002/api/job-descriptions
Query params:
page=@#$
Request body: N/A
</t>
  </si>
  <si>
    <t>curl -X GET "http://192.168.1.131:3002/api/job-descriptions?page=%40%23%24" ^
  -H "Authorization: Bearer &lt;validHrAccessToken&gt;"</t>
  </si>
  <si>
    <t>Kiểm tra truyền page = khác kiểu dữ liệu Int</t>
  </si>
  <si>
    <t xml:space="preserve">Authorization: Bearer &lt;validHrAccessToken&gt;
Method: GET
URL: http://192.168.1.131:3002/api/job-descriptions
Query params:
page[]=1
Request body: N/A
</t>
  </si>
  <si>
    <t>curl -X GET "http://192.168.1.131:3002/api/job-descriptions?page%5B%5D=1" ^
  -H "Authorization: Bearer &lt;validHrAccessToken&gt;"</t>
  </si>
  <si>
    <t>Kiểm tra trường limit</t>
  </si>
  <si>
    <t>Kiểm tra không truyền limit</t>
  </si>
  <si>
    <t>Kiểm tra truyền limit = null/rỗng</t>
  </si>
  <si>
    <t xml:space="preserve">Authorization: Bearer &lt;validHrAccessToken&gt;
Method: GET
URL: http://192.168.1.131:3002/api/job-descriptions
Query params:
limit=
Request body: N/A
</t>
  </si>
  <si>
    <t>curl -X GET "http://192.168.1.131:3002/api/job-descriptions?limit=" ^
  -H "Authorization: Bearer &lt;validHrAccessToken&gt;"</t>
  </si>
  <si>
    <t>Kiểm tra truyền limit &gt; 0</t>
  </si>
  <si>
    <t xml:space="preserve">Authorization: Bearer &lt;validHrAccessToken&gt;
Method: GET
URL: http://192.168.1.131:3002/api/job-descriptions
Query params:
limit=1
Request body: N/A
</t>
  </si>
  <si>
    <t>curl -X GET "http://192.168.1.131:3002/api/job-descriptions?limit=1" ^
  -H "Authorization: Bearer &lt;validHrAccessToken&gt;"</t>
  </si>
  <si>
    <t>1. Kết quả trả về:
- Status code: 200 OK
- API thực thi thành công và trả về response như format chung
- MM: số lượng item trong data không vượt quá limit đã truyền</t>
  </si>
  <si>
    <t>Kiểm tra truyền limit = chuỗi space</t>
  </si>
  <si>
    <t xml:space="preserve">Authorization: Bearer &lt;validHrAccessToken&gt;
Method: GET
URL: http://192.168.1.131:3002/api/job-descriptions
Query params:
limit= 
Request body: N/A
</t>
  </si>
  <si>
    <t>curl -X GET "http://192.168.1.131:3002/api/job-descriptions?limit=%20" ^
  -H "Authorization: Bearer &lt;validHrAccessToken&gt;"</t>
  </si>
  <si>
    <t>Kiểm tra truyền limit = 0</t>
  </si>
  <si>
    <t xml:space="preserve">Authorization: Bearer &lt;validHrAccessToken&gt;
Method: GET
URL: http://192.168.1.131:3002/api/job-descriptions
Query params:
limit=0
Request body: N/A
</t>
  </si>
  <si>
    <t>curl -X GET "http://192.168.1.131:3002/api/job-descriptions?limit=0" ^
  -H "Authorization: Bearer &lt;validHrAccessToken&gt;"</t>
  </si>
  <si>
    <t>Kiểm tra truyền limit = &lt; 0</t>
  </si>
  <si>
    <t xml:space="preserve">Authorization: Bearer &lt;validHrAccessToken&gt;
Method: GET
URL: http://192.168.1.131:3002/api/job-descriptions
Query params:
limit=-1
Request body: N/A
</t>
  </si>
  <si>
    <t>curl -X GET "http://192.168.1.131:3002/api/job-descriptions?limit=-1" ^
  -H "Authorization: Bearer &lt;validHrAccessToken&gt;"</t>
  </si>
  <si>
    <t>Kiểm tra truyền limit = số thực</t>
  </si>
  <si>
    <t xml:space="preserve">Authorization: Bearer &lt;validHrAccessToken&gt;
Method: GET
URL: http://192.168.1.131:3002/api/job-descriptions
Query params:
limit=1.5
Request body: N/A
</t>
  </si>
  <si>
    <t>curl -X GET "http://192.168.1.131:3002/api/job-descriptions?limit=1.5" ^
  -H "Authorization: Bearer &lt;validHrAccessToken&gt;"</t>
  </si>
  <si>
    <t>Kiểm tra truyền limit = chữ</t>
  </si>
  <si>
    <t xml:space="preserve">Authorization: Bearer &lt;validHrAccessToken&gt;
Method: GET
URL: http://192.168.1.131:3002/api/job-descriptions
Query params:
limit=abc
Request body: N/A
</t>
  </si>
  <si>
    <t>curl -X GET "http://192.168.1.131:3002/api/job-descriptions?limit=abc" ^
  -H "Authorization: Bearer &lt;validHrAccessToken&gt;"</t>
  </si>
  <si>
    <t>Kiểm tra truyền limit = ký tự đặc biệt</t>
  </si>
  <si>
    <t xml:space="preserve">Authorization: Bearer &lt;validHrAccessToken&gt;
Method: GET
URL: http://192.168.1.131:3002/api/job-descriptions
Query params:
limit=@#$
Request body: N/A
</t>
  </si>
  <si>
    <t>curl -X GET "http://192.168.1.131:3002/api/job-descriptions?limit=%40%23%24" ^
  -H "Authorization: Bearer &lt;validHrAccessToken&gt;"</t>
  </si>
  <si>
    <t>Kiểm tra truyền limit = khác kiểu dữ liệu Int</t>
  </si>
  <si>
    <t xml:space="preserve">Authorization: Bearer &lt;validHrAccessToken&gt;
Method: GET
URL: http://192.168.1.131:3002/api/job-descriptions
Query params:
limit[]=1
Request body: N/A
</t>
  </si>
  <si>
    <t>curl -X GET "http://192.168.1.131:3002/api/job-descriptions?limit%5B%5D=1" ^
  -H "Authorization: Bearer &lt;validHrAccessToken&gt;"</t>
  </si>
  <si>
    <t>Kiểm tra trường search</t>
  </si>
  <si>
    <t>Kiểm tra không truyền search</t>
  </si>
  <si>
    <t>Kiểm tra truyền search = null/rỗng</t>
  </si>
  <si>
    <t xml:space="preserve">Authorization: Bearer &lt;validHrAccessToken&gt;
Method: GET
URL: http://192.168.1.131:3002/api/job-descriptions
Query params:
search=
Request body: N/A
</t>
  </si>
  <si>
    <t>curl -X GET "http://192.168.1.131:3002/api/job-descriptions?search=" ^
  -H "Authorization: Bearer &lt;validHrAccessToken&gt;"</t>
  </si>
  <si>
    <t>Kiểm tra truyền search = chuỗi space</t>
  </si>
  <si>
    <t xml:space="preserve">Authorization: Bearer &lt;validHrAccessToken&gt;
Method: GET
URL: http://192.168.1.131:3002/api/job-descriptions
Query params:
search= 
Request body: N/A
</t>
  </si>
  <si>
    <t>curl -X GET "http://192.168.1.131:3002/api/job-descriptions?search=%20" ^
  -H "Authorization: Bearer &lt;validHrAccessToken&gt;"</t>
  </si>
  <si>
    <t>Kiểm tra truyền search = từ khóa khớp với title</t>
  </si>
  <si>
    <t xml:space="preserve">Authorization: Bearer &lt;validHrAccessToken&gt;
Method: GET
URL: http://192.168.1.131:3002/api/job-descriptions
Query params:
search=Backend
Request body: N/A
</t>
  </si>
  <si>
    <t>curl -X GET "http://192.168.1.131:3002/api/job-descriptions?search=Backend" ^
  -H "Authorization: Bearer &lt;validHrAccessToken&gt;"</t>
  </si>
  <si>
    <t>1. Kết quả trả về:
- Status code: 200 OK
- API thực thi thành công và trả về response như format chung
- MM: data trả về có title khớp với từ khóa search</t>
  </si>
  <si>
    <t>Kiểm tra truyền search = từ khóa khớp với summary</t>
  </si>
  <si>
    <t xml:space="preserve">Authorization: Bearer &lt;validHrAccessToken&gt;
Method: GET
URL: http://192.168.1.131:3002/api/job-descriptions
Query params:
search=REST
Request body: N/A
</t>
  </si>
  <si>
    <t>curl -X GET "http://192.168.1.131:3002/api/job-descriptions?search=REST" ^
  -H "Authorization: Bearer &lt;validHrAccessToken&gt;"</t>
  </si>
  <si>
    <t>1. Kết quả trả về:
- Status code: 200 OK
- API thực thi thành công và trả về response như format chung
- MM: data trả về có summary khớp với từ khóa search</t>
  </si>
  <si>
    <t>Kiểm tra truyền search = từ khóa khớp với description</t>
  </si>
  <si>
    <t xml:space="preserve">Authorization: Bearer &lt;validHrAccessToken&gt;
Method: GET
URL: http://192.168.1.131:3002/api/job-descriptions
Query params:
search=NodeJS
Request body: N/A
</t>
  </si>
  <si>
    <t>curl -X GET "http://192.168.1.131:3002/api/job-descriptions?search=NodeJS" ^
  -H "Authorization: Bearer &lt;validHrAccessToken&gt;"</t>
  </si>
  <si>
    <t>1. Kết quả trả về:
- Status code: 200 OK
- API thực thi thành công và trả về response như format chung
- MM: data trả về có description khớp với từ khóa search</t>
  </si>
  <si>
    <t>Kiểm tra truyền search = từ khóa khớp với salary</t>
  </si>
  <si>
    <t xml:space="preserve">Authorization: Bearer &lt;validHrAccessToken&gt;
Method: GET
URL: http://192.168.1.131:3002/api/job-descriptions
Query params:
search=2000
Request body: N/A
</t>
  </si>
  <si>
    <t>curl -X GET "http://192.168.1.131:3002/api/job-descriptions?search=2000" ^
  -H "Authorization: Bearer &lt;validHrAccessToken&gt;"</t>
  </si>
  <si>
    <t>1. Kết quả trả về:
- Status code: 200 OK
- API thực thi thành công và trả về response như format chung
- MM: data trả về có salary khớp với từ khóa search</t>
  </si>
  <si>
    <t>Kiểm tra truyền search = từ khóa khớp với department</t>
  </si>
  <si>
    <t xml:space="preserve">Authorization: Bearer &lt;validHrAccessToken&gt;
Method: GET
URL: http://192.168.1.131:3002/api/job-descriptions
Query params:
search=Engineering
Request body: N/A
</t>
  </si>
  <si>
    <t>curl -X GET "http://192.168.1.131:3002/api/job-descriptions?search=Engineering" ^
  -H "Authorization: Bearer &lt;validHrAccessToken&gt;"</t>
  </si>
  <si>
    <t>1. Kết quả trả về:
- Status code: 200 OK
- API thực thi thành công và trả về response như format chung
- MM: data trả về có department khớp với từ khóa search</t>
  </si>
  <si>
    <t>Kiểm tra truyền search không tồn tại</t>
  </si>
  <si>
    <t xml:space="preserve">Authorization: Bearer &lt;validHrAccessToken&gt;
Method: GET
URL: http://192.168.1.131:3002/api/job-descriptions
Query params:
search=keyword_khong_ton_tai_999
Request body: N/A
</t>
  </si>
  <si>
    <t>curl -X GET "http://192.168.1.131:3002/api/job-descriptions?search=keyword_khong_ton_tai_999" ^
  -H "Authorization: Bearer &lt;validHrAccessToken&gt;"</t>
  </si>
  <si>
    <t>1. Kết quả trả về:
- Status code: 200 OK
- API thực thi thành công và trả về response như format chung
- MM: data = rỗng</t>
  </si>
  <si>
    <t>Theo ghi chú vàng trong Test Design: không tồn tại thì trả ra rỗng.</t>
  </si>
  <si>
    <t>Kiểm tra truyền search khác kiểu dữ liệu String</t>
  </si>
  <si>
    <t xml:space="preserve">Authorization: Bearer &lt;validHrAccessToken&gt;
Method: GET
URL: http://192.168.1.131:3002/api/job-descriptions
Query params:
search[]=Backend
Request body: N/A
</t>
  </si>
  <si>
    <t>curl -X GET "http://192.168.1.131:3002/api/job-descriptions?search%5B%5D=Backend" ^
  -H "Authorization: Bearer &lt;validHrAccessToken&gt;"</t>
  </si>
  <si>
    <t>Kiểm tra trường sourceSystem</t>
  </si>
  <si>
    <t>Kiểm tra không truyền sourceSystem</t>
  </si>
  <si>
    <t>Kiểm tra truyền sourceSystem = null/rỗng</t>
  </si>
  <si>
    <t xml:space="preserve">Authorization: Bearer &lt;validHrAccessToken&gt;
Method: GET
URL: http://192.168.1.131:3002/api/job-descriptions
Query params:
sourceSystem=
Request body: N/A
</t>
  </si>
  <si>
    <t>curl -X GET "http://192.168.1.131:3002/api/job-descriptions?sourceSystem=" ^
  -H "Authorization: Bearer &lt;validHrAccessToken&gt;"</t>
  </si>
  <si>
    <t>Kiểm tra truyền sourceSystem = chuỗi space</t>
  </si>
  <si>
    <t xml:space="preserve">Authorization: Bearer &lt;validHrAccessToken&gt;
Method: GET
URL: http://192.168.1.131:3002/api/job-descriptions
Query params:
sourceSystem= 
Request body: N/A
</t>
  </si>
  <si>
    <t>curl -X GET "http://192.168.1.131:3002/api/job-descriptions?sourceSystem=%20" ^
  -H "Authorization: Bearer &lt;validHrAccessToken&gt;"</t>
  </si>
  <si>
    <t>Kiểm tra truyền sourceSystem = VCS_Portal</t>
  </si>
  <si>
    <t xml:space="preserve">Authorization: Bearer &lt;validHrAccessToken&gt;
Method: GET
URL: http://192.168.1.131:3002/api/job-descriptions
Query params:
sourceSystem=VCS_Portal
Request body: N/A
</t>
  </si>
  <si>
    <t>curl -X GET "http://192.168.1.131:3002/api/job-descriptions?sourceSystem=VCS_Portal" ^
  -H "Authorization: Bearer &lt;validHrAccessToken&gt;"</t>
  </si>
  <si>
    <t>1. Kết quả trả về:
- Status code: 200 OK
- API thực thi thành công và trả về response như format chung
- MM: data trả về thỏa sourceSystem = VCS_Portal</t>
  </si>
  <si>
    <t>Kiểm tra truyền sourceSystem khác VCS_Portal</t>
  </si>
  <si>
    <t xml:space="preserve">Authorization: Bearer &lt;validHrAccessToken&gt;
Method: GET
URL: http://192.168.1.131:3002/api/job-descriptions
Query params:
sourceSystem=OTHER_SYSTEM
Request body: N/A
</t>
  </si>
  <si>
    <t>curl -X GET "http://192.168.1.131:3002/api/job-descriptions?sourceSystem=OTHER_SYSTEM" ^
  -H "Authorization: Bearer &lt;validHrAccessToken&gt;"</t>
  </si>
  <si>
    <t>Kiểm tra truyền sourceSystem khác kiểu dữ liệu String</t>
  </si>
  <si>
    <t xml:space="preserve">Authorization: Bearer &lt;validHrAccessToken&gt;
Method: GET
URL: http://192.168.1.131:3002/api/job-descriptions
Query params:
sourceSystem[]=VCS_Portal
Request body: N/A
</t>
  </si>
  <si>
    <t>curl -X GET "http://192.168.1.131:3002/api/job-descriptions?sourceSystem%5B%5D=VCS_Portal" ^
  -H "Authorization: Bearer &lt;validHrAccessToken&gt;"</t>
  </si>
  <si>
    <t>Kiểm tra trường status</t>
  </si>
  <si>
    <t>Kiểm tra không truyền status</t>
  </si>
  <si>
    <t>Kiểm tra truyền status = null/rỗng</t>
  </si>
  <si>
    <t xml:space="preserve">Authorization: Bearer &lt;validHrAccessToken&gt;
Method: GET
URL: http://192.168.1.131:3002/api/job-descriptions
Query params:
status=
Request body: N/A
</t>
  </si>
  <si>
    <t>curl -X GET "http://192.168.1.131:3002/api/job-descriptions?status=" ^
  -H "Authorization: Bearer &lt;validHrAccessToken&gt;"</t>
  </si>
  <si>
    <t>Kiểm tra truyền status = chuỗi space</t>
  </si>
  <si>
    <t xml:space="preserve">Authorization: Bearer &lt;validHrAccessToken&gt;
Method: GET
URL: http://192.168.1.131:3002/api/job-descriptions
Query params:
status= 
Request body: N/A
</t>
  </si>
  <si>
    <t>curl -X GET "http://192.168.1.131:3002/api/job-descriptions?status=%20" ^
  -H "Authorization: Bearer &lt;validHrAccessToken&gt;"</t>
  </si>
  <si>
    <t>Kiểm tra truyền status = ACTIVE</t>
  </si>
  <si>
    <t xml:space="preserve">Authorization: Bearer &lt;validHrAccessToken&gt;
Method: GET
URL: http://192.168.1.131:3002/api/job-descriptions
Query params:
status=ACTIVE
Request body: N/A
</t>
  </si>
  <si>
    <t>curl -X GET "http://192.168.1.131:3002/api/job-descriptions?status=ACTIVE" ^
  -H "Authorization: Bearer &lt;validHrAccessToken&gt;"</t>
  </si>
  <si>
    <t>1. Kết quả trả về:
- Status code: 200 OK
- API thực thi thành công và trả về response như format chung
- MM: data trả về có status = ACTIVE</t>
  </si>
  <si>
    <t>Kiểm tra truyền status = DRAFT</t>
  </si>
  <si>
    <t xml:space="preserve">Authorization: Bearer &lt;validHrAccessToken&gt;
Method: GET
URL: http://192.168.1.131:3002/api/job-descriptions
Query params:
status=DRAFT
Request body: N/A
</t>
  </si>
  <si>
    <t>curl -X GET "http://192.168.1.131:3002/api/job-descriptions?status=DRAFT" ^
  -H "Authorization: Bearer &lt;validHrAccessToken&gt;"</t>
  </si>
  <si>
    <t>1. Kết quả trả về:
- Status code: 200 OK
- API thực thi thành công và trả về response như format chung
- MM: data trả về có status = DRAFT</t>
  </si>
  <si>
    <t>Kiểm tra truyền status = ARCHIVED</t>
  </si>
  <si>
    <t xml:space="preserve">Authorization: Bearer &lt;validHrAccessToken&gt;
Method: GET
URL: http://192.168.1.131:3002/api/job-descriptions
Query params:
status=ARCHIVED
Request body: N/A
</t>
  </si>
  <si>
    <t>curl -X GET "http://192.168.1.131:3002/api/job-descriptions?status=ARCHIVED" ^
  -H "Authorization: Bearer &lt;validHrAccessToken&gt;"</t>
  </si>
  <si>
    <t>1. Kết quả trả về:
- Status code: 200 OK
- API thực thi thành công và trả về response như format chung
- MM: data trả về có status = ARCHIVED</t>
  </si>
  <si>
    <t>Kiểm tra truyền status = ACTIVE/DRAFT/ARCHIVED ở dạng chữ thường/chữ hoa thường</t>
  </si>
  <si>
    <t xml:space="preserve">Authorization: Bearer &lt;validHrAccessToken&gt;
Method: GET
URL: http://192.168.1.131:3002/api/job-descriptions
Query params:
status=active
Request body: N/A
</t>
  </si>
  <si>
    <t>curl -X GET "http://192.168.1.131:3002/api/job-descriptions?status=active" ^
  -H "Authorization: Bearer &lt;validHrAccessToken&gt;"</t>
  </si>
  <si>
    <t>Theo ghi chú vàng trong Test Design: gộp các biến thể casing của ACTIVE/DRAFT/ARCHIVED thành 1 case invalid.</t>
  </si>
  <si>
    <t>Kiểm tra truyền status khác ACTIVE, DRAFT, ARCHIVED</t>
  </si>
  <si>
    <t xml:space="preserve">Authorization: Bearer &lt;validHrAccessToken&gt;
Method: GET
URL: http://192.168.1.131:3002/api/job-descriptions
Query params:
status=CLOSED
Request body: N/A
</t>
  </si>
  <si>
    <t>curl -X GET "http://192.168.1.131:3002/api/job-descriptions?status=CLOSED" ^
  -H "Authorization: Bearer &lt;validHrAccessToken&gt;"</t>
  </si>
  <si>
    <t>Kiểm tra truyền status khác kiểu dữ liệu String</t>
  </si>
  <si>
    <t xml:space="preserve">Authorization: Bearer &lt;validHrAccessToken&gt;
Method: GET
URL: http://192.168.1.131:3002/api/job-descriptions
Query params:
status[]=ACTIVE
Request body: N/A
</t>
  </si>
  <si>
    <t>curl -X GET "http://192.168.1.131:3002/api/job-descriptions?status%5B%5D=ACTIVE" ^
  -H "Authorization: Bearer &lt;validHrAccessToken&gt;"</t>
  </si>
  <si>
    <t>Kiểm tra trường latestSyncedOnly</t>
  </si>
  <si>
    <t>Kiểm tra không truyền latestSyncedOnly</t>
  </si>
  <si>
    <t>Kiểm tra truyền latestSyncedOnly = null/rỗng</t>
  </si>
  <si>
    <t xml:space="preserve">Authorization: Bearer &lt;validHrAccessToken&gt;
Method: GET
URL: http://192.168.1.131:3002/api/job-descriptions
Query params:
latestSyncedOnly=
Request body: N/A
</t>
  </si>
  <si>
    <t>curl -X GET "http://192.168.1.131:3002/api/job-descriptions?latestSyncedOnly=" ^
  -H "Authorization: Bearer &lt;validHrAccessToken&gt;"</t>
  </si>
  <si>
    <t>Kiểm tra truyền latestSyncedOnly = chuỗi space</t>
  </si>
  <si>
    <t xml:space="preserve">Authorization: Bearer &lt;validHrAccessToken&gt;
Method: GET
URL: http://192.168.1.131:3002/api/job-descriptions
Query params:
latestSyncedOnly= 
Request body: N/A
</t>
  </si>
  <si>
    <t>curl -X GET "http://192.168.1.131:3002/api/job-descriptions?latestSyncedOnly=%20" ^
  -H "Authorization: Bearer &lt;validHrAccessToken&gt;"</t>
  </si>
  <si>
    <t>Kiểm tra truyền latestSyncedOnly = true</t>
  </si>
  <si>
    <t xml:space="preserve">Authorization: Bearer &lt;validHrAccessToken&gt;
Method: GET
URL: http://192.168.1.131:3002/api/job-descriptions
Query params:
latestSyncedOnly=true
Request body: N/A
</t>
  </si>
  <si>
    <t>curl -X GET "http://192.168.1.131:3002/api/job-descriptions?latestSyncedOnly=true" ^
  -H "Authorization: Bearer &lt;validHrAccessToken&gt;"</t>
  </si>
  <si>
    <t>1. Kết quả trả về:
- Status code: 200 OK
- API thực thi thành công và trả về response như format chung
- MM: data trả về theo điều kiện latestSyncedOnly = true</t>
  </si>
  <si>
    <t>Kiểm tra truyền latestSyncedOnly = false</t>
  </si>
  <si>
    <t xml:space="preserve">Authorization: Bearer &lt;validHrAccessToken&gt;
Method: GET
URL: http://192.168.1.131:3002/api/job-descriptions
Query params:
latestSyncedOnly=false
Request body: N/A
</t>
  </si>
  <si>
    <t>curl -X GET "http://192.168.1.131:3002/api/job-descriptions?latestSyncedOnly=false" ^
  -H "Authorization: Bearer &lt;validHrAccessToken&gt;"</t>
  </si>
  <si>
    <t>1. Kết quả trả về:
- Status code: 200 OK
- API thực thi thành công và trả về response như format chung
- MM: data trả về theo điều kiện latestSyncedOnly = false</t>
  </si>
  <si>
    <t>Kiểm tra truyền latestSyncedOnly = 0</t>
  </si>
  <si>
    <t xml:space="preserve">Authorization: Bearer &lt;validHrAccessToken&gt;
Method: GET
URL: http://192.168.1.131:3002/api/job-descriptions
Query params:
latestSyncedOnly=0
Request body: N/A
</t>
  </si>
  <si>
    <t>curl -X GET "http://192.168.1.131:3002/api/job-descriptions?latestSyncedOnly=0" ^
  -H "Authorization: Bearer &lt;validHrAccessToken&gt;"</t>
  </si>
  <si>
    <t>Kiểm tra truyền latestSyncedOnly = 1</t>
  </si>
  <si>
    <t xml:space="preserve">Authorization: Bearer &lt;validHrAccessToken&gt;
Method: GET
URL: http://192.168.1.131:3002/api/job-descriptions
Query params:
latestSyncedOnly=1
Request body: N/A
</t>
  </si>
  <si>
    <t>curl -X GET "http://192.168.1.131:3002/api/job-descriptions?latestSyncedOnly=1" ^
  -H "Authorization: Bearer &lt;validHrAccessToken&gt;"</t>
  </si>
  <si>
    <t>Kiểm tra truyền latestSyncedOnly = chữ</t>
  </si>
  <si>
    <t xml:space="preserve">Authorization: Bearer &lt;validHrAccessToken&gt;
Method: GET
URL: http://192.168.1.131:3002/api/job-descriptions
Query params:
latestSyncedOnly=abc
Request body: N/A
</t>
  </si>
  <si>
    <t>curl -X GET "http://192.168.1.131:3002/api/job-descriptions?latestSyncedOnly=abc" ^
  -H "Authorization: Bearer &lt;validHrAccessToken&gt;"</t>
  </si>
  <si>
    <t>Kiểm tra truyền latestSyncedOnly = ký tự đặc biệt</t>
  </si>
  <si>
    <t xml:space="preserve">Authorization: Bearer &lt;validHrAccessToken&gt;
Method: GET
URL: http://192.168.1.131:3002/api/job-descriptions
Query params:
latestSyncedOnly=@#$
Request body: N/A
</t>
  </si>
  <si>
    <t>curl -X GET "http://192.168.1.131:3002/api/job-descriptions?latestSyncedOnly=%40%23%24" ^
  -H "Authorization: Bearer &lt;validHrAccessToken&gt;"</t>
  </si>
  <si>
    <t>Kiểm tra truyền latestSyncedOnly = khác kiểu dữ liệu Boolean</t>
  </si>
  <si>
    <t xml:space="preserve">Authorization: Bearer &lt;validHrAccessToken&gt;
Method: GET
URL: http://192.168.1.131:3002/api/job-descriptions
Query params:
latestSyncedOnly[]=true
Request body: N/A
</t>
  </si>
  <si>
    <t>curl -X GET "http://192.168.1.131:3002/api/job-descriptions?latestSyncedOnly%5B%5D=true" ^
  -H "Authorization: Bearer &lt;validHrAccessToken&gt;"</t>
  </si>
  <si>
    <t>Kiểm tra trường sortBy</t>
  </si>
  <si>
    <t>Kiểm tra không truyền sortBy</t>
  </si>
  <si>
    <t>Kiểm tra truyền sortBy = null/rỗng</t>
  </si>
  <si>
    <t xml:space="preserve">Authorization: Bearer &lt;validHrAccessToken&gt;
Method: GET
URL: http://192.168.1.131:3002/api/job-descriptions
Query params:
sortBy=
Request body: N/A
</t>
  </si>
  <si>
    <t>curl -X GET "http://192.168.1.131:3002/api/job-descriptions?sortBy=" ^
  -H "Authorization: Bearer &lt;validHrAccessToken&gt;"</t>
  </si>
  <si>
    <t>Kiểm tra truyền sortBy = chuỗi space</t>
  </si>
  <si>
    <t xml:space="preserve">Authorization: Bearer &lt;validHrAccessToken&gt;
Method: GET
URL: http://192.168.1.131:3002/api/job-descriptions
Query params:
sortBy= 
Request body: N/A
</t>
  </si>
  <si>
    <t>curl -X GET "http://192.168.1.131:3002/api/job-descriptions?sortBy=%20" ^
  -H "Authorization: Bearer &lt;validHrAccessToken&gt;"</t>
  </si>
  <si>
    <t>Kiểm tra truyền sortBy = title</t>
  </si>
  <si>
    <t xml:space="preserve">Authorization: Bearer &lt;validHrAccessToken&gt;
Method: GET
URL: http://192.168.1.131:3002/api/job-descriptions
Query params:
sortBy=title
Request body: N/A
</t>
  </si>
  <si>
    <t>curl -X GET "http://192.168.1.131:3002/api/job-descriptions?sortBy=title" ^
  -H "Authorization: Bearer &lt;validHrAccessToken&gt;"</t>
  </si>
  <si>
    <t>1. Kết quả trả về:
- Status code: 200 OK
- API thực thi thành công và trả về response như format chung
- MM: API chấp nhận trường sortBy = title</t>
  </si>
  <si>
    <t>Kiểm tra truyền sortBy = status</t>
  </si>
  <si>
    <t xml:space="preserve">Authorization: Bearer &lt;validHrAccessToken&gt;
Method: GET
URL: http://192.168.1.131:3002/api/job-descriptions
Query params:
sortBy=status
Request body: N/A
</t>
  </si>
  <si>
    <t>curl -X GET "http://192.168.1.131:3002/api/job-descriptions?sortBy=status" ^
  -H "Authorization: Bearer &lt;validHrAccessToken&gt;"</t>
  </si>
  <si>
    <t>1. Kết quả trả về:
- Status code: 200 OK
- API thực thi thành công và trả về response như format chung
- MM: API chấp nhận trường sortBy = status</t>
  </si>
  <si>
    <t>Kiểm tra truyền sortBy = createdAt</t>
  </si>
  <si>
    <t xml:space="preserve">Authorization: Bearer &lt;validHrAccessToken&gt;
Method: GET
URL: http://192.168.1.131:3002/api/job-descriptions
Query params:
sortBy=createdAt
Request body: N/A
</t>
  </si>
  <si>
    <t>curl -X GET "http://192.168.1.131:3002/api/job-descriptions?sortBy=createdAt" ^
  -H "Authorization: Bearer &lt;validHrAccessToken&gt;"</t>
  </si>
  <si>
    <t>1. Kết quả trả về:
- Status code: 200 OK
- API thực thi thành công và trả về response như format chung
- MM: API chấp nhận trường sortBy = createdAt</t>
  </si>
  <si>
    <t>Kiểm tra truyền sortBy = updatedAt</t>
  </si>
  <si>
    <t xml:space="preserve">Authorization: Bearer &lt;validHrAccessToken&gt;
Method: GET
URL: http://192.168.1.131:3002/api/job-descriptions
Query params:
sortBy=updatedAt
Request body: N/A
</t>
  </si>
  <si>
    <t>curl -X GET "http://192.168.1.131:3002/api/job-descriptions?sortBy=updatedAt" ^
  -H "Authorization: Bearer &lt;validHrAccessToken&gt;"</t>
  </si>
  <si>
    <t>1. Kết quả trả về:
- Status code: 200 OK
- API thực thi thành công và trả về response như format chung
- MM: API chấp nhận trường sortBy = updatedAt</t>
  </si>
  <si>
    <t>Kiểm tra truyền sortBy = lastSyncedAt</t>
  </si>
  <si>
    <t xml:space="preserve">Authorization: Bearer &lt;validHrAccessToken&gt;
Method: GET
URL: http://192.168.1.131:3002/api/job-descriptions
Query params:
sortBy=lastSyncedAt
Request body: N/A
</t>
  </si>
  <si>
    <t>curl -X GET "http://192.168.1.131:3002/api/job-descriptions?sortBy=lastSyncedAt" ^
  -H "Authorization: Bearer &lt;validHrAccessToken&gt;"</t>
  </si>
  <si>
    <t>1. Kết quả trả về:
- Status code: 200 OK
- API thực thi thành công và trả về response như format chung
- MM: API chấp nhận trường sortBy = lastSyncedAt</t>
  </si>
  <si>
    <t>Kiểm tra truyền sortBy = cột không hỗ trợ sắp xếp</t>
  </si>
  <si>
    <t xml:space="preserve">Authorization: Bearer &lt;validHrAccessToken&gt;
Method: GET
URL: http://192.168.1.131:3002/api/job-descriptions
Query params:
sortBy=unsupportedColumn
Request body: N/A
</t>
  </si>
  <si>
    <t>curl -X GET "http://192.168.1.131:3002/api/job-descriptions?sortBy=unsupportedColumn" ^
  -H "Authorization: Bearer &lt;validHrAccessToken&gt;"</t>
  </si>
  <si>
    <t>Kiểm tra truyền sortBy khác kiểu dữ liệu String</t>
  </si>
  <si>
    <t xml:space="preserve">Authorization: Bearer &lt;validHrAccessToken&gt;
Method: GET
URL: http://192.168.1.131:3002/api/job-descriptions
Query params:
sortBy[]=title
Request body: N/A
</t>
  </si>
  <si>
    <t>curl -X GET "http://192.168.1.131:3002/api/job-descriptions?sortBy%5B%5D=title" ^
  -H "Authorization: Bearer &lt;validHrAccessToken&gt;"</t>
  </si>
  <si>
    <t>Kiểm tra trường sortOrder</t>
  </si>
  <si>
    <t>Kiểm tra không truyền sortOrder</t>
  </si>
  <si>
    <t>Kiểm tra truyền sortOrder = null/rỗng</t>
  </si>
  <si>
    <t xml:space="preserve">Authorization: Bearer &lt;validHrAccessToken&gt;
Method: GET
URL: http://192.168.1.131:3002/api/job-descriptions
Query params:
sortOrder=
Request body: N/A
</t>
  </si>
  <si>
    <t>curl -X GET "http://192.168.1.131:3002/api/job-descriptions?sortOrder=" ^
  -H "Authorization: Bearer &lt;validHrAccessToken&gt;"</t>
  </si>
  <si>
    <t>Kiểm tra truyền sortOrder = chuỗi space</t>
  </si>
  <si>
    <t xml:space="preserve">Authorization: Bearer &lt;validHrAccessToken&gt;
Method: GET
URL: http://192.168.1.131:3002/api/job-descriptions
Query params:
sortOrder= 
Request body: N/A
</t>
  </si>
  <si>
    <t>curl -X GET "http://192.168.1.131:3002/api/job-descriptions?sortOrder=%20" ^
  -H "Authorization: Bearer &lt;validHrAccessToken&gt;"</t>
  </si>
  <si>
    <t>Kiểm tra truyền sortOrder = ASC</t>
  </si>
  <si>
    <t xml:space="preserve">Authorization: Bearer &lt;validHrAccessToken&gt;
Method: GET
URL: http://192.168.1.131:3002/api/job-descriptions
Query params:
sortBy=createdAt
sortOrder=ASC
Request body: N/A
</t>
  </si>
  <si>
    <t>curl -X GET "http://192.168.1.131:3002/api/job-descriptions?sortBy=createdAt&amp;sortOrder=ASC" ^
  -H "Authorization: Bearer &lt;validHrAccessToken&gt;"</t>
  </si>
  <si>
    <t>1. Kết quả trả về:
- Status code: 200 OK
- API thực thi thành công và trả về response như format chung
- MM: data được sắp xếp tăng dần theo trường sortBy truyền vào</t>
  </si>
  <si>
    <t>Theo ghi chú vàng trong Test Design: tách ASC thành case độc lập và assert thứ tự sắp xếp.</t>
  </si>
  <si>
    <t>Kiểm tra truyền sortOrder = DESC</t>
  </si>
  <si>
    <t xml:space="preserve">Authorization: Bearer &lt;validHrAccessToken&gt;
Method: GET
URL: http://192.168.1.131:3002/api/job-descriptions
Query params:
sortBy=createdAt
sortOrder=DESC
Request body: N/A
</t>
  </si>
  <si>
    <t>curl -X GET "http://192.168.1.131:3002/api/job-descriptions?sortBy=createdAt&amp;sortOrder=DESC" ^
  -H "Authorization: Bearer &lt;validHrAccessToken&gt;"</t>
  </si>
  <si>
    <t>1. Kết quả trả về:
- Status code: 200 OK
- API thực thi thành công và trả về response như format chung
- MM: data được sắp xếp giảm dần theo trường sortBy truyền vào</t>
  </si>
  <si>
    <t>Theo ghi chú vàng trong Test Design: tách DESC thành case độc lập và assert thứ tự sắp xếp.</t>
  </si>
  <si>
    <t>Kiểm tra sortOrder khác ASC hoặc DESC</t>
  </si>
  <si>
    <t xml:space="preserve">Authorization: Bearer &lt;validHrAccessToken&gt;
Method: GET
URL: http://192.168.1.131:3002/api/job-descriptions
Query params:
sortOrder=RANDOM
Request body: N/A
</t>
  </si>
  <si>
    <t>curl -X GET "http://192.168.1.131:3002/api/job-descriptions?sortOrder=RANDOM" ^
  -H "Authorization: Bearer &lt;validHrAccessToken&gt;"</t>
  </si>
  <si>
    <t>Kiểm tra truyền sortOrder khác kiểu dữ liệu String</t>
  </si>
  <si>
    <t xml:space="preserve">Authorization: Bearer &lt;validHrAccessToken&gt;
Method: GET
URL: http://192.168.1.131:3002/api/job-descriptions
Query params:
sortOrder[]=ASC
Request body: N/A
</t>
  </si>
  <si>
    <t>curl -X GET "http://192.168.1.131:3002/api/job-descriptions?sortOrder%5B%5D=ASC" ^
  -H "Authorization: Bearer &lt;validHrAccessToken&gt;"</t>
  </si>
  <si>
    <t>Kiểm tra response</t>
  </si>
  <si>
    <t>Kiểm tra Response Data</t>
  </si>
  <si>
    <t>Kiểm tra tìm kiếm có dữ liệu</t>
  </si>
  <si>
    <t>1. Kết quả trả về:
- Status code: 200 OK
- API thực thi thành công và trả về response như format chung
- MM: data có ít nhất một bản ghi</t>
  </si>
  <si>
    <t>Kiểm tra tìm kiếm không có dữ liệu</t>
  </si>
  <si>
    <t>Theo ghi chú vàng trong Test Design: thêm MM data = rỗng dưới status code.</t>
  </si>
  <si>
    <t>Kiểm tra khi API thực thi khi lỗi server</t>
  </si>
  <si>
    <t>1. Kết quả trả về:
- Status code: 500 Internal Server Error
- Message: Request could not be completed. Please retry later.</t>
  </si>
  <si>
    <t>Kiểm tra khả năng xác thực của API</t>
  </si>
  <si>
    <t>Kiểm tra tính khả dụng của kiểu xác thực cho API</t>
  </si>
  <si>
    <t>Kiểm tra sử dụng Bearer Token</t>
  </si>
  <si>
    <t>Kiểm tra sử dụng khác Bearer Token</t>
  </si>
  <si>
    <t xml:space="preserve">Authorization: Token &lt;validHrAccessToken&gt;
Method: GET
URL: http://192.168.1.131:3002/api/job-descriptions
Query params:
N/A
Request body: N/A
</t>
  </si>
  <si>
    <t>curl -X GET "http://192.168.1.131:3002/api/job-descriptions" ^
  -H "Authorization: Token &lt;validHrAccessToken&gt;"</t>
  </si>
  <si>
    <t>1. Kết quả trả về:
- Status code: 401 Unauthorized
- Message: Authentication is required</t>
  </si>
  <si>
    <t>Kiểm tra thông tin khóa xác thực của API</t>
  </si>
  <si>
    <t>Kiểm tra không truyền accessToken</t>
  </si>
  <si>
    <t xml:space="preserve">Authorization: N/A
Method: GET
URL: http://192.168.1.131:3002/api/job-descriptions
Query params:
N/A
Request body: N/A
</t>
  </si>
  <si>
    <t>curl -X GET "http://192.168.1.131:3002/api/job-descriptions"</t>
  </si>
  <si>
    <t>Kiểm tra truyền accessToken còn hạn của HR</t>
  </si>
  <si>
    <t>Kiểm tra truyền accessToken còn hạn không phải của HR</t>
  </si>
  <si>
    <t xml:space="preserve">Authorization: Bearer &lt;validNonHrAccessToken&gt;
Method: GET
URL: http://192.168.1.131:3002/api/job-descriptions
Query params:
N/A
Request body: N/A
</t>
  </si>
  <si>
    <t>curl -X GET "http://192.168.1.131:3002/api/job-descriptions" ^
  -H "Authorization: Bearer &lt;validNonHrAccessToken&gt;"</t>
  </si>
  <si>
    <t>1. Kết quả trả về:
- Status code: 403 Forbidden
- Message: You do not have permission to perform this action.</t>
  </si>
  <si>
    <t xml:space="preserve">Authorization: Bearer &lt;expiredAccessToken&gt;
Method: GET
URL: http://192.168.1.131:3002/api/job-descriptions
Query params:
N/A
Request body: N/A
</t>
  </si>
  <si>
    <t>curl -X GET "http://192.168.1.131:3002/api/job-descriptions" ^
  -H "Authorization: Bearer &lt;expiredAccessToken&gt;"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</si>
</sst>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scheme val="minor"/>
    </font>
    <font>
      <sz val="10"/>
      <color theme="1"/>
      <name val="Times New Roman"/>
    </font>
    <font>
      <b/>
      <sz val="14"/>
      <color theme="1"/>
      <name val="Times New Roman"/>
    </font>
    <font>
      <b/>
      <sz val="12"/>
      <color theme="1"/>
      <name val="Times New Roman"/>
    </font>
    <font>
      <sz val="10"/>
      <color rgb="FF000000"/>
      <name val="'Times New Roman'"/>
    </font>
    <font>
      <b/>
      <sz val="18"/>
      <color theme="1"/>
      <name val="Times New Roman"/>
    </font>
    <font>
      <sz val="10"/>
      <name val="Arial"/>
    </font>
    <font>
      <b/>
      <sz val="24"/>
      <color theme="1"/>
      <name val="Times New Roman"/>
    </font>
    <font>
      <b/>
      <sz val="22"/>
      <color theme="1"/>
      <name val="Times New Roman"/>
    </font>
    <font>
      <sz val="16"/>
      <color theme="1"/>
      <name val="Times New Roman"/>
    </font>
    <font>
      <b/>
      <sz val="10"/>
      <color theme="1"/>
      <name val="Times New Roman"/>
    </font>
    <font>
      <b/>
      <i/>
      <sz val="10"/>
      <color theme="1"/>
      <name val="Times New Roman"/>
    </font>
    <font>
      <b/>
      <sz val="20"/>
      <color theme="1"/>
      <name val="Times New Roman"/>
    </font>
    <font>
      <sz val="11"/>
      <color theme="1"/>
      <name val="Times New Roman"/>
    </font>
    <font>
      <sz val="10"/>
      <color theme="1"/>
      <name val="Arial"/>
    </font>
    <font>
      <b/>
      <sz val="20"/>
      <color rgb="FF000000"/>
      <name val="Times New Roman"/>
    </font>
    <font>
      <sz val="10"/>
      <color rgb="FF000000"/>
      <name val="Times New Roman"/>
    </font>
    <font>
      <sz val="13"/>
      <color theme="1"/>
      <name val="Times New Roman"/>
    </font>
    <font>
      <sz val="12"/>
      <color theme="1"/>
      <name val="Times New Roman"/>
    </font>
    <font>
      <sz val="12"/>
      <color rgb="FF0000FF"/>
      <name val="Times New Roman"/>
    </font>
    <font>
      <sz val="12"/>
      <color rgb="FF000000"/>
      <name val="Times New Roman"/>
    </font>
    <font>
      <b/>
      <sz val="12"/>
      <color rgb="FF000000"/>
      <name val="Times New Roman"/>
    </font>
    <font>
      <sz val="12"/>
      <color theme="1"/>
      <name val="Arial"/>
    </font>
    <font>
      <sz val="10"/>
      <color rgb="FF000000"/>
      <name val="Arial"/>
    </font>
    <font>
      <b/>
      <sz val="20"/>
      <color rgb="FF000000"/>
      <name val="Arial"/>
    </font>
    <font>
      <b/>
      <sz val="11"/>
      <color rgb="FF000000"/>
      <name val="Times New Roman"/>
    </font>
    <font>
      <sz val="11"/>
      <color rgb="FF000000"/>
      <name val="Times New Roman"/>
    </font>
    <font>
      <b/>
      <i/>
      <sz val="12"/>
      <color rgb="FF000000"/>
      <name val="Times New Roman"/>
    </font>
    <font>
      <b/>
      <i/>
      <u/>
      <sz val="12"/>
      <color rgb="FF000000"/>
      <name val="Times New Roman"/>
    </font>
    <font>
      <b/>
      <u/>
      <sz val="12"/>
      <color rgb="FF000000"/>
      <name val="Times New Roman"/>
    </font>
    <font>
      <b/>
      <sz val="24"/>
      <color theme="1"/>
      <name val="Arial"/>
    </font>
    <font>
      <b/>
      <sz val="14"/>
      <color rgb="FFFFFFFF"/>
      <name val="Times New Roman"/>
    </font>
    <font>
      <b/>
      <u/>
      <sz val="12"/>
      <color rgb="FF1155CC"/>
      <name val="Times New Roman"/>
    </font>
  </fonts>
  <fills count="13">
    <fill>
      <patternFill patternType="none"/>
    </fill>
    <fill>
      <patternFill patternType="gray125"/>
    </fill>
    <fill>
      <patternFill patternType="solid">
        <fgColor rgb="FF00B0F0"/>
        <bgColor rgb="FF00B0F0"/>
      </patternFill>
    </fill>
    <fill>
      <patternFill patternType="solid">
        <fgColor rgb="FFFFFFFF"/>
        <bgColor rgb="FFFFFFFF"/>
      </patternFill>
    </fill>
    <fill>
      <patternFill patternType="solid">
        <fgColor rgb="FF00CCFF"/>
        <bgColor rgb="FF00CCFF"/>
      </patternFill>
    </fill>
    <fill>
      <patternFill patternType="solid">
        <fgColor rgb="FFCCFFCC"/>
        <bgColor rgb="FFCCFFCC"/>
      </patternFill>
    </fill>
    <fill>
      <patternFill patternType="solid">
        <fgColor rgb="FFFFFF00"/>
        <bgColor rgb="FFFFFF00"/>
      </patternFill>
    </fill>
    <fill>
      <patternFill patternType="solid">
        <fgColor rgb="FFA9D08E"/>
        <bgColor rgb="FFA9D08E"/>
      </patternFill>
    </fill>
    <fill>
      <patternFill patternType="solid">
        <fgColor theme="0"/>
        <bgColor theme="0"/>
      </patternFill>
    </fill>
    <fill>
      <patternFill patternType="solid">
        <fgColor rgb="FFF9CB9C"/>
        <bgColor rgb="FFF9CB9C"/>
      </patternFill>
    </fill>
    <fill>
      <patternFill patternType="solid">
        <fgColor rgb="FF00FFFF"/>
        <bgColor rgb="FF00FFFF"/>
      </patternFill>
    </fill>
    <fill>
      <patternFill patternType="solid">
        <fgColor rgb="FF002060"/>
        <bgColor rgb="FF002060"/>
      </patternFill>
    </fill>
    <fill>
      <patternFill patternType="solid">
        <fgColor rgb="FFBDEEFF"/>
        <bgColor rgb="FFBDEEFF"/>
      </patternFill>
    </fill>
  </fills>
  <borders count="3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68">
    <xf numFmtId="0" fontId="0" fillId="0" borderId="0" xfId="0"/>
    <xf numFmtId="0" fontId="1" fillId="0" borderId="1" xfId="0" applyFont="1" applyBorder="1"/>
    <xf numFmtId="0" fontId="1" fillId="0" borderId="2" xfId="0" applyFont="1" applyBorder="1"/>
    <xf numFmtId="0" fontId="2" fillId="0" borderId="2" xfId="0" applyFont="1" applyBorder="1" applyAlignment="1">
      <alignment horizontal="left"/>
    </xf>
    <xf numFmtId="0" fontId="3" fillId="0" borderId="2" xfId="0" applyFont="1" applyBorder="1" applyAlignment="1">
      <alignment horizontal="center"/>
    </xf>
    <xf numFmtId="0" fontId="1" fillId="0" borderId="3" xfId="0" applyFont="1" applyBorder="1"/>
    <xf numFmtId="0" fontId="1" fillId="0" borderId="0" xfId="0" applyFont="1"/>
    <xf numFmtId="0" fontId="1" fillId="0" borderId="4" xfId="0" applyFont="1" applyBorder="1"/>
    <xf numFmtId="0" fontId="2" fillId="0" borderId="0" xfId="0" applyFont="1"/>
    <xf numFmtId="0" fontId="3" fillId="0" borderId="0" xfId="0" applyFont="1" applyAlignment="1">
      <alignment horizontal="center"/>
    </xf>
    <xf numFmtId="0" fontId="1" fillId="0" borderId="5" xfId="0" applyFont="1" applyBorder="1"/>
    <xf numFmtId="0" fontId="4" fillId="0" borderId="0" xfId="0" applyFont="1"/>
    <xf numFmtId="0" fontId="8" fillId="0" borderId="0" xfId="0" applyFont="1" applyAlignment="1">
      <alignment wrapText="1"/>
    </xf>
    <xf numFmtId="0" fontId="10" fillId="0" borderId="0" xfId="0" applyFont="1"/>
    <xf numFmtId="0" fontId="10" fillId="0" borderId="0" xfId="0" applyFont="1" applyAlignment="1">
      <alignment horizontal="left"/>
    </xf>
    <xf numFmtId="0" fontId="10" fillId="0" borderId="4" xfId="0" applyFont="1" applyBorder="1"/>
    <xf numFmtId="0" fontId="10" fillId="0" borderId="5" xfId="0" applyFont="1" applyBorder="1"/>
    <xf numFmtId="0" fontId="1" fillId="0" borderId="0" xfId="0" applyFont="1" applyAlignment="1">
      <alignment horizontal="left"/>
    </xf>
    <xf numFmtId="0" fontId="11" fillId="0" borderId="4" xfId="0" applyFont="1" applyBorder="1" applyAlignment="1">
      <alignment horizontal="left"/>
    </xf>
    <xf numFmtId="0" fontId="1" fillId="0" borderId="4" xfId="0" applyFont="1" applyBorder="1" applyAlignment="1">
      <alignment horizontal="left"/>
    </xf>
    <xf numFmtId="0" fontId="1" fillId="0" borderId="0" xfId="0" applyFont="1" applyAlignment="1">
      <alignment wrapText="1"/>
    </xf>
    <xf numFmtId="0" fontId="1" fillId="0" borderId="0" xfId="0" quotePrefix="1" applyFont="1"/>
    <xf numFmtId="14" fontId="1" fillId="0" borderId="0" xfId="0" applyNumberFormat="1" applyFont="1"/>
    <xf numFmtId="0" fontId="1" fillId="0" borderId="6" xfId="0" applyFont="1" applyBorder="1"/>
    <xf numFmtId="0" fontId="1" fillId="0" borderId="7" xfId="0" applyFont="1" applyBorder="1"/>
    <xf numFmtId="0" fontId="1" fillId="0" borderId="8" xfId="0" applyFont="1" applyBorder="1"/>
    <xf numFmtId="0" fontId="10" fillId="2" borderId="9" xfId="0" applyFont="1" applyFill="1" applyBorder="1" applyAlignment="1">
      <alignment horizontal="center" vertical="center" wrapText="1"/>
    </xf>
    <xf numFmtId="14" fontId="13" fillId="0" borderId="9" xfId="0" applyNumberFormat="1" applyFont="1" applyBorder="1" applyAlignment="1">
      <alignment horizontal="left" vertical="center"/>
    </xf>
    <xf numFmtId="0" fontId="13" fillId="0" borderId="9" xfId="0" applyFont="1" applyBorder="1" applyAlignment="1">
      <alignment horizontal="left" vertical="center" wrapText="1"/>
    </xf>
    <xf numFmtId="0" fontId="1" fillId="0" borderId="0" xfId="0" applyFont="1" applyAlignment="1">
      <alignment horizontal="left" vertical="center"/>
    </xf>
    <xf numFmtId="0" fontId="13" fillId="0" borderId="9" xfId="0" applyFont="1" applyBorder="1"/>
    <xf numFmtId="0" fontId="14" fillId="0" borderId="0" xfId="0" applyFont="1" applyAlignment="1">
      <alignment vertical="center"/>
    </xf>
    <xf numFmtId="0" fontId="16" fillId="0" borderId="16" xfId="0" applyFont="1" applyBorder="1" applyAlignment="1">
      <alignment vertical="center"/>
    </xf>
    <xf numFmtId="0" fontId="16" fillId="0" borderId="16" xfId="0" applyFont="1" applyBorder="1" applyAlignment="1">
      <alignment horizontal="center" vertical="center"/>
    </xf>
    <xf numFmtId="0" fontId="3" fillId="4" borderId="9" xfId="0" applyFont="1" applyFill="1" applyBorder="1" applyAlignment="1">
      <alignment horizontal="center" vertical="center" wrapText="1"/>
    </xf>
    <xf numFmtId="0" fontId="3" fillId="0" borderId="17" xfId="0" applyFont="1" applyBorder="1" applyAlignment="1">
      <alignment horizontal="center" vertical="center" wrapText="1"/>
    </xf>
    <xf numFmtId="0" fontId="17" fillId="0" borderId="0" xfId="0" applyFont="1" applyAlignment="1">
      <alignment vertical="center" wrapText="1"/>
    </xf>
    <xf numFmtId="0" fontId="18" fillId="5" borderId="9" xfId="0" applyFont="1" applyFill="1" applyBorder="1" applyAlignment="1">
      <alignment horizontal="center" vertical="center"/>
    </xf>
    <xf numFmtId="0" fontId="19" fillId="0" borderId="18" xfId="0" applyFont="1" applyBorder="1" applyAlignment="1">
      <alignment vertical="center"/>
    </xf>
    <xf numFmtId="0" fontId="20" fillId="0" borderId="18" xfId="0" applyFont="1" applyBorder="1" applyAlignment="1">
      <alignment horizontal="center" vertical="center"/>
    </xf>
    <xf numFmtId="10" fontId="20" fillId="0" borderId="18" xfId="0" applyNumberFormat="1" applyFont="1" applyBorder="1" applyAlignment="1">
      <alignment horizontal="center" vertical="center"/>
    </xf>
    <xf numFmtId="10" fontId="18" fillId="0" borderId="9" xfId="0" applyNumberFormat="1" applyFont="1" applyBorder="1" applyAlignment="1">
      <alignment horizontal="center" vertical="center"/>
    </xf>
    <xf numFmtId="0" fontId="17" fillId="0" borderId="0" xfId="0" applyFont="1" applyAlignment="1">
      <alignment vertical="center"/>
    </xf>
    <xf numFmtId="0" fontId="21" fillId="0" borderId="18" xfId="0" applyFont="1" applyBorder="1" applyAlignment="1">
      <alignment horizontal="center" vertical="center"/>
    </xf>
    <xf numFmtId="10" fontId="21" fillId="0" borderId="18" xfId="0" applyNumberFormat="1" applyFont="1" applyBorder="1" applyAlignment="1">
      <alignment horizontal="center" vertical="center"/>
    </xf>
    <xf numFmtId="10" fontId="3" fillId="0" borderId="9" xfId="0" applyNumberFormat="1" applyFont="1" applyBorder="1" applyAlignment="1">
      <alignment horizontal="center" vertical="center"/>
    </xf>
    <xf numFmtId="0" fontId="18" fillId="0" borderId="0" xfId="0" applyFont="1" applyAlignment="1">
      <alignment vertical="center"/>
    </xf>
    <xf numFmtId="0" fontId="22" fillId="0" borderId="0" xfId="0" applyFont="1" applyAlignment="1">
      <alignment vertical="center"/>
    </xf>
    <xf numFmtId="0" fontId="23" fillId="0" borderId="0" xfId="0" applyFont="1"/>
    <xf numFmtId="0" fontId="23" fillId="0" borderId="0" xfId="0" applyFont="1" applyAlignment="1">
      <alignment horizontal="center"/>
    </xf>
    <xf numFmtId="0" fontId="20" fillId="0" borderId="0" xfId="0" applyFont="1" applyAlignment="1">
      <alignment horizontal="center"/>
    </xf>
    <xf numFmtId="0" fontId="25" fillId="0" borderId="9" xfId="0" applyFont="1" applyBorder="1"/>
    <xf numFmtId="0" fontId="26" fillId="0" borderId="17" xfId="0" applyFont="1" applyBorder="1" applyAlignment="1">
      <alignment horizontal="center"/>
    </xf>
    <xf numFmtId="0" fontId="25" fillId="0" borderId="19" xfId="0" applyFont="1" applyBorder="1"/>
    <xf numFmtId="0" fontId="26" fillId="0" borderId="18" xfId="0" applyFont="1" applyBorder="1" applyAlignment="1">
      <alignment horizontal="center"/>
    </xf>
    <xf numFmtId="0" fontId="3" fillId="0" borderId="9" xfId="0" applyFont="1" applyBorder="1" applyAlignment="1">
      <alignment horizontal="center" vertical="center" wrapText="1"/>
    </xf>
    <xf numFmtId="0" fontId="25" fillId="0" borderId="18" xfId="0" applyFont="1" applyBorder="1" applyAlignment="1">
      <alignment horizontal="center"/>
    </xf>
    <xf numFmtId="0" fontId="21"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1" fillId="0" borderId="9" xfId="0" applyFont="1" applyBorder="1" applyAlignment="1">
      <alignment vertical="center" wrapText="1"/>
    </xf>
    <xf numFmtId="0" fontId="21" fillId="0" borderId="9" xfId="0" applyFont="1" applyBorder="1" applyAlignment="1">
      <alignment horizontal="center" vertical="center" wrapText="1"/>
    </xf>
    <xf numFmtId="0" fontId="18" fillId="0" borderId="9" xfId="0" applyFont="1" applyBorder="1" applyAlignment="1">
      <alignment horizontal="center" vertical="center" wrapText="1"/>
    </xf>
    <xf numFmtId="0" fontId="20" fillId="0" borderId="22" xfId="0" applyFont="1" applyBorder="1" applyAlignment="1">
      <alignment horizontal="left" vertical="center" wrapText="1"/>
    </xf>
    <xf numFmtId="0" fontId="20" fillId="0" borderId="9" xfId="0" applyFont="1" applyBorder="1" applyAlignment="1">
      <alignment horizontal="left" vertical="center" wrapText="1"/>
    </xf>
    <xf numFmtId="0" fontId="20" fillId="0" borderId="0" xfId="0" applyFont="1" applyAlignment="1">
      <alignment vertical="center"/>
    </xf>
    <xf numFmtId="0" fontId="20" fillId="0" borderId="9" xfId="0" applyFont="1" applyBorder="1" applyAlignment="1">
      <alignment horizontal="center" vertical="center" wrapText="1"/>
    </xf>
    <xf numFmtId="0" fontId="16" fillId="0" borderId="9" xfId="0" applyFont="1" applyBorder="1" applyAlignment="1">
      <alignment vertical="center" wrapText="1"/>
    </xf>
    <xf numFmtId="0" fontId="3" fillId="8" borderId="9" xfId="0" applyFont="1" applyFill="1" applyBorder="1" applyAlignment="1">
      <alignment horizontal="center" vertical="center" wrapText="1"/>
    </xf>
    <xf numFmtId="0" fontId="20" fillId="0" borderId="9" xfId="0" applyFont="1" applyBorder="1" applyAlignment="1">
      <alignment vertical="center" wrapText="1"/>
    </xf>
    <xf numFmtId="0" fontId="20" fillId="0" borderId="27" xfId="0" applyFont="1" applyBorder="1" applyAlignment="1">
      <alignment horizontal="left" vertical="center" wrapText="1"/>
    </xf>
    <xf numFmtId="0" fontId="20" fillId="0" borderId="27" xfId="0" applyFont="1" applyBorder="1" applyAlignment="1">
      <alignment vertical="center" wrapText="1"/>
    </xf>
    <xf numFmtId="0" fontId="20" fillId="0" borderId="27" xfId="0" applyFont="1" applyBorder="1" applyAlignment="1">
      <alignment horizontal="center" vertical="center" wrapText="1"/>
    </xf>
    <xf numFmtId="0" fontId="20" fillId="0" borderId="20" xfId="0" applyFont="1" applyBorder="1" applyAlignment="1">
      <alignment horizontal="center" vertical="center" wrapText="1"/>
    </xf>
    <xf numFmtId="0" fontId="16" fillId="0" borderId="20" xfId="0" applyFont="1" applyBorder="1" applyAlignment="1">
      <alignment vertical="center" wrapText="1"/>
    </xf>
    <xf numFmtId="0" fontId="3" fillId="0" borderId="27" xfId="0" applyFont="1" applyBorder="1" applyAlignment="1">
      <alignment horizontal="center" vertical="center" wrapText="1"/>
    </xf>
    <xf numFmtId="0" fontId="20" fillId="0" borderId="0" xfId="0" applyFont="1"/>
    <xf numFmtId="0" fontId="18" fillId="0" borderId="30" xfId="0" applyFont="1" applyBorder="1" applyAlignment="1">
      <alignment horizontal="center" vertical="center" wrapText="1"/>
    </xf>
    <xf numFmtId="0" fontId="20" fillId="0" borderId="12" xfId="0" applyFont="1" applyBorder="1" applyAlignment="1">
      <alignment vertical="center" wrapText="1"/>
    </xf>
    <xf numFmtId="0" fontId="20" fillId="0" borderId="20" xfId="0" applyFont="1" applyBorder="1" applyAlignment="1">
      <alignment horizontal="left" vertical="center" wrapText="1"/>
    </xf>
    <xf numFmtId="0" fontId="20" fillId="0" borderId="19" xfId="0" applyFont="1" applyBorder="1" applyAlignment="1">
      <alignment horizontal="center"/>
    </xf>
    <xf numFmtId="0" fontId="28" fillId="0" borderId="16" xfId="0" applyFont="1" applyBorder="1"/>
    <xf numFmtId="0" fontId="27" fillId="0" borderId="16" xfId="0" applyFont="1" applyBorder="1"/>
    <xf numFmtId="0" fontId="20" fillId="0" borderId="16" xfId="0" applyFont="1" applyBorder="1" applyAlignment="1">
      <alignment horizontal="left"/>
    </xf>
    <xf numFmtId="0" fontId="20" fillId="0" borderId="16" xfId="0" applyFont="1" applyBorder="1"/>
    <xf numFmtId="0" fontId="20" fillId="0" borderId="16" xfId="0" applyFont="1" applyBorder="1" applyAlignment="1">
      <alignment horizontal="center"/>
    </xf>
    <xf numFmtId="0" fontId="23" fillId="0" borderId="16" xfId="0" applyFont="1" applyBorder="1"/>
    <xf numFmtId="0" fontId="18" fillId="0" borderId="31" xfId="0" applyFont="1" applyBorder="1" applyAlignment="1">
      <alignment horizontal="center" vertical="center" wrapText="1"/>
    </xf>
    <xf numFmtId="0" fontId="20" fillId="0" borderId="32" xfId="0" applyFont="1" applyBorder="1" applyAlignment="1">
      <alignment vertical="center" wrapText="1"/>
    </xf>
    <xf numFmtId="0" fontId="20" fillId="0" borderId="20" xfId="0" applyFont="1" applyBorder="1" applyAlignment="1">
      <alignment vertical="center" wrapText="1"/>
    </xf>
    <xf numFmtId="0" fontId="18" fillId="0" borderId="19" xfId="0" applyFont="1" applyBorder="1" applyAlignment="1">
      <alignment horizontal="center" vertical="center" wrapText="1"/>
    </xf>
    <xf numFmtId="0" fontId="18" fillId="0" borderId="9" xfId="0" applyFont="1" applyBorder="1" applyAlignment="1">
      <alignment horizontal="left" vertical="center" wrapText="1"/>
    </xf>
    <xf numFmtId="0" fontId="14" fillId="0" borderId="0" xfId="0" applyFont="1"/>
    <xf numFmtId="0" fontId="31" fillId="11" borderId="9" xfId="0" applyFont="1" applyFill="1" applyBorder="1" applyAlignment="1">
      <alignment horizontal="center" wrapText="1"/>
    </xf>
    <xf numFmtId="0" fontId="21" fillId="12" borderId="9" xfId="0" applyFont="1" applyFill="1" applyBorder="1" applyAlignment="1">
      <alignment horizontal="center" wrapText="1"/>
    </xf>
    <xf numFmtId="0" fontId="18" fillId="0" borderId="20" xfId="0" applyFont="1" applyBorder="1" applyAlignment="1">
      <alignment wrapText="1"/>
    </xf>
    <xf numFmtId="0" fontId="14" fillId="0" borderId="0" xfId="0" applyFont="1" applyAlignment="1">
      <alignment wrapText="1"/>
    </xf>
    <xf numFmtId="0" fontId="14" fillId="0" borderId="26" xfId="0" applyFont="1" applyBorder="1"/>
    <xf numFmtId="0" fontId="3" fillId="0" borderId="9" xfId="0" applyFont="1" applyBorder="1" applyAlignment="1">
      <alignment horizontal="center"/>
    </xf>
    <xf numFmtId="0" fontId="18" fillId="0" borderId="9" xfId="0" applyFont="1" applyBorder="1"/>
    <xf numFmtId="0" fontId="18" fillId="0" borderId="9" xfId="0" applyFont="1" applyBorder="1" applyAlignment="1">
      <alignment wrapText="1"/>
    </xf>
    <xf numFmtId="0" fontId="21" fillId="0" borderId="9" xfId="0" applyFont="1" applyBorder="1" applyAlignment="1">
      <alignment horizontal="center"/>
    </xf>
    <xf numFmtId="0" fontId="3" fillId="0" borderId="9" xfId="0" applyFont="1" applyBorder="1" applyAlignment="1">
      <alignment horizontal="center" wrapText="1"/>
    </xf>
    <xf numFmtId="0" fontId="6" fillId="0" borderId="11" xfId="0" applyFont="1" applyBorder="1"/>
    <xf numFmtId="0" fontId="6" fillId="0" borderId="12" xfId="0" applyFont="1" applyBorder="1"/>
    <xf numFmtId="0" fontId="6" fillId="0" borderId="15" xfId="0" applyFont="1" applyBorder="1"/>
    <xf numFmtId="0" fontId="21" fillId="0" borderId="21" xfId="0" applyFont="1" applyBorder="1" applyAlignment="1">
      <alignment horizontal="center" vertical="center" wrapText="1"/>
    </xf>
    <xf numFmtId="0" fontId="21" fillId="0" borderId="23" xfId="0" applyFont="1" applyBorder="1" applyAlignment="1">
      <alignment horizontal="center" vertical="center" wrapText="1"/>
    </xf>
    <xf numFmtId="0" fontId="6" fillId="0" borderId="24" xfId="0" applyFont="1" applyBorder="1"/>
    <xf numFmtId="0" fontId="6" fillId="0" borderId="25" xfId="0" applyFont="1" applyBorder="1"/>
    <xf numFmtId="0" fontId="21" fillId="0" borderId="20" xfId="0" applyFont="1" applyBorder="1" applyAlignment="1">
      <alignment horizontal="center" vertical="center" wrapText="1"/>
    </xf>
    <xf numFmtId="0" fontId="6" fillId="0" borderId="22" xfId="0" applyFont="1" applyBorder="1"/>
    <xf numFmtId="0" fontId="6" fillId="0" borderId="26" xfId="0" applyFont="1" applyBorder="1"/>
    <xf numFmtId="0" fontId="24" fillId="0" borderId="13" xfId="0" applyFont="1" applyBorder="1" applyAlignment="1">
      <alignment horizontal="center"/>
    </xf>
    <xf numFmtId="0" fontId="21" fillId="6" borderId="21" xfId="0" applyFont="1" applyFill="1" applyBorder="1" applyAlignment="1">
      <alignment vertical="center" wrapText="1"/>
    </xf>
    <xf numFmtId="0" fontId="27" fillId="0" borderId="21" xfId="0" applyFont="1" applyBorder="1" applyAlignment="1">
      <alignment vertical="center" wrapText="1"/>
    </xf>
    <xf numFmtId="0" fontId="21" fillId="7" borderId="21" xfId="0" applyFont="1" applyFill="1" applyBorder="1" applyAlignment="1">
      <alignment vertical="center" wrapText="1"/>
    </xf>
    <xf numFmtId="0" fontId="5" fillId="0" borderId="4" xfId="0" applyFont="1" applyBorder="1" applyAlignment="1">
      <alignment horizontal="center"/>
    </xf>
    <xf numFmtId="0" fontId="0" fillId="0" borderId="0" xfId="0"/>
    <xf numFmtId="0" fontId="6" fillId="0" borderId="5" xfId="0" applyFont="1" applyBorder="1"/>
    <xf numFmtId="0" fontId="1" fillId="0" borderId="0" xfId="0" applyFont="1"/>
    <xf numFmtId="0" fontId="13" fillId="0" borderId="10" xfId="0" applyFont="1" applyBorder="1" applyAlignment="1">
      <alignment horizontal="center"/>
    </xf>
    <xf numFmtId="0" fontId="6" fillId="0" borderId="11" xfId="0" applyFont="1" applyBorder="1"/>
    <xf numFmtId="0" fontId="6" fillId="0" borderId="12" xfId="0" applyFont="1" applyBorder="1"/>
    <xf numFmtId="0" fontId="7" fillId="0" borderId="4" xfId="0" applyFont="1" applyBorder="1" applyAlignment="1">
      <alignment horizontal="center" wrapText="1"/>
    </xf>
    <xf numFmtId="0" fontId="9" fillId="0" borderId="4" xfId="0" applyFont="1" applyBorder="1" applyAlignment="1">
      <alignment horizontal="center" wrapText="1"/>
    </xf>
    <xf numFmtId="0" fontId="12" fillId="0" borderId="0" xfId="0" applyFont="1" applyAlignment="1">
      <alignment horizontal="center"/>
    </xf>
    <xf numFmtId="0" fontId="10" fillId="0" borderId="10" xfId="0" applyFont="1" applyBorder="1" applyAlignment="1">
      <alignment horizontal="center" vertical="center" wrapText="1"/>
    </xf>
    <xf numFmtId="0" fontId="13" fillId="0" borderId="10" xfId="0" applyFont="1" applyBorder="1" applyAlignment="1">
      <alignment horizontal="left" vertical="center"/>
    </xf>
    <xf numFmtId="0" fontId="15" fillId="3" borderId="13" xfId="0" applyFont="1" applyFill="1" applyBorder="1" applyAlignment="1">
      <alignment horizontal="center" vertical="center"/>
    </xf>
    <xf numFmtId="0" fontId="6" fillId="0" borderId="14" xfId="0" applyFont="1" applyBorder="1"/>
    <xf numFmtId="0" fontId="6" fillId="0" borderId="15" xfId="0" applyFont="1" applyBorder="1"/>
    <xf numFmtId="0" fontId="3" fillId="0" borderId="10" xfId="0" applyFont="1" applyBorder="1" applyAlignment="1">
      <alignment horizontal="center" vertical="center"/>
    </xf>
    <xf numFmtId="0" fontId="20" fillId="0" borderId="13" xfId="0" applyFont="1" applyBorder="1"/>
    <xf numFmtId="0" fontId="27" fillId="0" borderId="21" xfId="0" applyFont="1" applyBorder="1" applyAlignment="1">
      <alignment vertical="center" wrapText="1"/>
    </xf>
    <xf numFmtId="0" fontId="21" fillId="7" borderId="21" xfId="0" applyFont="1" applyFill="1" applyBorder="1" applyAlignment="1">
      <alignment vertical="center" wrapText="1"/>
    </xf>
    <xf numFmtId="0" fontId="21" fillId="0" borderId="23" xfId="0" applyFont="1" applyBorder="1" applyAlignment="1">
      <alignment vertical="center" wrapText="1"/>
    </xf>
    <xf numFmtId="0" fontId="6" fillId="0" borderId="24" xfId="0" applyFont="1" applyBorder="1"/>
    <xf numFmtId="0" fontId="6" fillId="0" borderId="25" xfId="0" applyFont="1" applyBorder="1"/>
    <xf numFmtId="0" fontId="21" fillId="9" borderId="21" xfId="0" applyFont="1" applyFill="1" applyBorder="1" applyAlignment="1">
      <alignment vertical="center" wrapText="1"/>
    </xf>
    <xf numFmtId="0" fontId="24" fillId="0" borderId="13" xfId="0" applyFont="1" applyBorder="1" applyAlignment="1">
      <alignment horizontal="center"/>
    </xf>
    <xf numFmtId="0" fontId="21" fillId="0" borderId="20" xfId="0" applyFont="1" applyBorder="1" applyAlignment="1">
      <alignment horizontal="center" vertical="center" wrapText="1"/>
    </xf>
    <xf numFmtId="0" fontId="6" fillId="0" borderId="22" xfId="0" applyFont="1" applyBorder="1"/>
    <xf numFmtId="0" fontId="6" fillId="0" borderId="26" xfId="0" applyFont="1" applyBorder="1"/>
    <xf numFmtId="0" fontId="18" fillId="0" borderId="20" xfId="0" applyFont="1" applyBorder="1" applyAlignment="1">
      <alignment horizontal="left" vertical="center"/>
    </xf>
    <xf numFmtId="0" fontId="20" fillId="0" borderId="28" xfId="0" applyFont="1" applyBorder="1" applyAlignment="1">
      <alignment vertical="center" wrapText="1"/>
    </xf>
    <xf numFmtId="0" fontId="6" fillId="0" borderId="29" xfId="0" applyFont="1" applyBorder="1"/>
    <xf numFmtId="0" fontId="20" fillId="0" borderId="22" xfId="0" applyFont="1" applyBorder="1" applyAlignment="1">
      <alignment horizontal="left" vertical="center" wrapText="1"/>
    </xf>
    <xf numFmtId="0" fontId="20" fillId="0" borderId="20" xfId="0" applyFont="1" applyBorder="1" applyAlignment="1">
      <alignment horizontal="left" vertical="center" wrapText="1"/>
    </xf>
    <xf numFmtId="0" fontId="21" fillId="6" borderId="21" xfId="0" applyFont="1" applyFill="1" applyBorder="1" applyAlignment="1">
      <alignment vertical="center" wrapText="1"/>
    </xf>
    <xf numFmtId="0" fontId="21" fillId="0" borderId="21" xfId="0" applyFont="1" applyBorder="1" applyAlignment="1">
      <alignment horizontal="center" vertical="center" wrapText="1"/>
    </xf>
    <xf numFmtId="0" fontId="21" fillId="0" borderId="23" xfId="0" applyFont="1" applyBorder="1" applyAlignment="1">
      <alignment horizontal="center" vertical="center" wrapText="1"/>
    </xf>
    <xf numFmtId="0" fontId="27" fillId="0" borderId="23" xfId="0" applyFont="1" applyBorder="1" applyAlignment="1">
      <alignment vertical="center" wrapText="1"/>
    </xf>
    <xf numFmtId="0" fontId="21" fillId="0" borderId="21" xfId="0" applyFont="1" applyBorder="1" applyAlignment="1">
      <alignment vertical="center" wrapText="1"/>
    </xf>
    <xf numFmtId="0" fontId="20" fillId="0" borderId="22" xfId="0" applyFont="1" applyBorder="1" applyAlignment="1">
      <alignment vertical="center" wrapText="1"/>
    </xf>
    <xf numFmtId="0" fontId="20" fillId="0" borderId="20" xfId="0" applyFont="1" applyBorder="1" applyAlignment="1">
      <alignment vertical="center" wrapText="1"/>
    </xf>
    <xf numFmtId="0" fontId="29" fillId="0" borderId="21" xfId="0" applyFont="1" applyBorder="1" applyAlignment="1">
      <alignment vertical="center" wrapText="1"/>
    </xf>
    <xf numFmtId="0" fontId="18" fillId="0" borderId="10" xfId="0" applyFont="1" applyBorder="1" applyAlignment="1">
      <alignment wrapText="1"/>
    </xf>
    <xf numFmtId="0" fontId="20" fillId="0" borderId="10" xfId="0" applyFont="1" applyBorder="1" applyAlignment="1">
      <alignment wrapText="1"/>
    </xf>
    <xf numFmtId="0" fontId="3" fillId="0" borderId="10" xfId="0" applyFont="1" applyBorder="1" applyAlignment="1">
      <alignment wrapText="1"/>
    </xf>
    <xf numFmtId="0" fontId="18" fillId="0" borderId="20" xfId="0" applyFont="1" applyBorder="1"/>
    <xf numFmtId="0" fontId="21" fillId="0" borderId="10" xfId="0" applyFont="1" applyBorder="1" applyAlignment="1">
      <alignment wrapText="1"/>
    </xf>
    <xf numFmtId="0" fontId="20" fillId="0" borderId="10" xfId="0" applyFont="1" applyBorder="1"/>
    <xf numFmtId="0" fontId="21" fillId="0" borderId="10" xfId="0" applyFont="1" applyBorder="1"/>
    <xf numFmtId="0" fontId="3" fillId="0" borderId="10" xfId="0" applyFont="1" applyBorder="1"/>
    <xf numFmtId="0" fontId="18" fillId="0" borderId="10" xfId="0" quotePrefix="1" applyFont="1" applyBorder="1" applyAlignment="1">
      <alignment wrapText="1"/>
    </xf>
    <xf numFmtId="0" fontId="18" fillId="0" borderId="10" xfId="0" applyFont="1" applyBorder="1"/>
    <xf numFmtId="0" fontId="30" fillId="10" borderId="10" xfId="0" applyFont="1" applyFill="1" applyBorder="1" applyAlignment="1">
      <alignment horizontal="center"/>
    </xf>
    <xf numFmtId="0" fontId="31" fillId="0" borderId="10" xfId="0" applyFont="1" applyBorder="1" applyAlignment="1">
      <alignment horizontal="center" wrapText="1"/>
    </xf>
  </cellXfs>
  <cellStyles count="1">
    <cellStyle name="Normal" xfId="0" builtinId="0"/>
  </cellStyles>
  <dxfs count="4">
    <dxf>
      <fill>
        <patternFill patternType="solid">
          <fgColor rgb="FFFF9900"/>
          <bgColor rgb="FFFF9900"/>
        </patternFill>
      </fill>
    </dxf>
    <dxf>
      <fill>
        <patternFill patternType="solid">
          <fgColor rgb="FFEAD1DC"/>
          <bgColor rgb="FFEAD1DC"/>
        </patternFill>
      </fill>
    </dxf>
    <dxf>
      <fill>
        <patternFill patternType="solid">
          <fgColor rgb="FFFF0000"/>
          <bgColor rgb="FFFF0000"/>
        </patternFill>
      </fill>
    </dxf>
    <dxf>
      <fill>
        <patternFill patternType="solid">
          <fgColor rgb="FF4A86E8"/>
          <bgColor rgb="FF4A86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0</xdr:colOff>
      <xdr:row>6</xdr:row>
      <xdr:rowOff>0</xdr:rowOff>
    </xdr:from>
    <xdr:ext cx="876300" cy="333375"/>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192.168.1.131:3002/api/auth/refre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showGridLines="0" workbookViewId="0"/>
  </sheetViews>
  <sheetFormatPr defaultColWidth="12.5703125" defaultRowHeight="15" customHeight="1"/>
  <cols>
    <col min="1" max="1" width="10.140625" customWidth="1"/>
    <col min="2" max="2" width="16.5703125" customWidth="1"/>
    <col min="3" max="3" width="17.5703125" customWidth="1"/>
    <col min="4" max="4" width="14.140625" customWidth="1"/>
    <col min="5" max="5" width="30.42578125" customWidth="1"/>
    <col min="6" max="6" width="34.85546875" customWidth="1"/>
    <col min="7" max="7" width="6.7109375" customWidth="1"/>
    <col min="8" max="8" width="6.85546875" customWidth="1"/>
    <col min="9" max="9" width="8.28515625" customWidth="1"/>
    <col min="10" max="27" width="9.140625" customWidth="1"/>
  </cols>
  <sheetData>
    <row r="1" spans="1:27" ht="26.25" customHeight="1">
      <c r="A1" s="1"/>
      <c r="B1" s="2"/>
      <c r="C1" s="2"/>
      <c r="D1" s="3" t="s">
        <v>0</v>
      </c>
      <c r="F1" s="4"/>
      <c r="G1" s="2"/>
      <c r="H1" s="2"/>
      <c r="I1" s="5"/>
      <c r="J1" s="6"/>
      <c r="K1" s="6"/>
      <c r="L1" s="6"/>
      <c r="M1" s="6"/>
      <c r="N1" s="6"/>
      <c r="O1" s="6"/>
      <c r="P1" s="6"/>
      <c r="Q1" s="6"/>
      <c r="R1" s="6"/>
      <c r="S1" s="6"/>
      <c r="T1" s="6"/>
      <c r="U1" s="6"/>
      <c r="V1" s="6"/>
      <c r="W1" s="6"/>
      <c r="X1" s="6"/>
      <c r="Y1" s="6"/>
      <c r="Z1" s="6"/>
      <c r="AA1" s="6"/>
    </row>
    <row r="2" spans="1:27" ht="26.25" customHeight="1">
      <c r="A2" s="7"/>
      <c r="B2" s="6"/>
      <c r="C2" s="6"/>
      <c r="D2" s="8"/>
      <c r="E2" s="6"/>
      <c r="F2" s="9"/>
      <c r="G2" s="6"/>
      <c r="H2" s="6"/>
      <c r="I2" s="10"/>
      <c r="J2" s="6"/>
      <c r="K2" s="6"/>
      <c r="L2" s="6"/>
      <c r="M2" s="6"/>
      <c r="N2" s="6"/>
      <c r="O2" s="6"/>
      <c r="P2" s="6"/>
      <c r="Q2" s="6"/>
      <c r="R2" s="6"/>
      <c r="S2" s="6"/>
      <c r="T2" s="6"/>
      <c r="U2" s="6"/>
      <c r="V2" s="6"/>
      <c r="W2" s="6"/>
      <c r="X2" s="6"/>
      <c r="Y2" s="6"/>
      <c r="Z2" s="6"/>
      <c r="AA2" s="6"/>
    </row>
    <row r="3" spans="1:27" ht="26.25" customHeight="1">
      <c r="A3" s="7"/>
      <c r="B3" s="6"/>
      <c r="C3" s="6"/>
      <c r="D3" s="6"/>
      <c r="E3" s="6"/>
      <c r="F3" s="6"/>
      <c r="G3" s="6"/>
      <c r="H3" s="6"/>
      <c r="I3" s="10"/>
      <c r="J3" s="6"/>
      <c r="K3" s="6"/>
      <c r="L3" s="6"/>
      <c r="M3" s="6"/>
      <c r="N3" s="6"/>
      <c r="O3" s="6"/>
      <c r="P3" s="6"/>
      <c r="Q3" s="6"/>
      <c r="R3" s="6"/>
      <c r="S3" s="6"/>
      <c r="T3" s="6"/>
      <c r="U3" s="6"/>
      <c r="V3" s="6"/>
      <c r="W3" s="6"/>
      <c r="X3" s="6"/>
      <c r="Y3" s="6"/>
      <c r="Z3" s="6"/>
      <c r="AA3" s="6"/>
    </row>
    <row r="4" spans="1:27" ht="26.25" customHeight="1">
      <c r="A4" s="7"/>
      <c r="B4" s="6"/>
      <c r="C4" s="6"/>
      <c r="D4" s="6"/>
      <c r="E4" s="6"/>
      <c r="F4" s="6"/>
      <c r="G4" s="6"/>
      <c r="H4" s="6"/>
      <c r="I4" s="10"/>
      <c r="J4" s="6"/>
      <c r="K4" s="6"/>
      <c r="L4" s="6"/>
      <c r="M4" s="6"/>
      <c r="N4" s="6"/>
      <c r="O4" s="6"/>
      <c r="P4" s="6"/>
      <c r="Q4" s="6"/>
      <c r="R4" s="6"/>
      <c r="S4" s="6"/>
      <c r="T4" s="6"/>
      <c r="U4" s="6"/>
      <c r="V4" s="6"/>
      <c r="W4" s="6"/>
      <c r="X4" s="6"/>
      <c r="Y4" s="6"/>
      <c r="Z4" s="6"/>
      <c r="AA4" s="6"/>
    </row>
    <row r="5" spans="1:27" ht="26.25" customHeight="1">
      <c r="A5" s="7"/>
      <c r="B5" s="6"/>
      <c r="C5" s="6"/>
      <c r="D5" s="6"/>
      <c r="E5" s="6"/>
      <c r="F5" s="6"/>
      <c r="G5" s="6"/>
      <c r="H5" s="6"/>
      <c r="I5" s="10"/>
      <c r="J5" s="6"/>
      <c r="K5" s="6"/>
      <c r="L5" s="6"/>
      <c r="M5" s="6"/>
      <c r="N5" s="6"/>
      <c r="O5" s="6"/>
      <c r="P5" s="6"/>
      <c r="Q5" s="6"/>
      <c r="R5" s="6"/>
      <c r="S5" s="6"/>
      <c r="T5" s="6"/>
      <c r="U5" s="6"/>
      <c r="V5" s="6"/>
      <c r="W5" s="6"/>
      <c r="X5" s="6"/>
      <c r="Y5" s="6"/>
      <c r="Z5" s="6"/>
      <c r="AA5" s="6"/>
    </row>
    <row r="6" spans="1:27" ht="26.25" customHeight="1">
      <c r="A6" s="7"/>
      <c r="B6" s="6"/>
      <c r="C6" s="6"/>
      <c r="D6" s="6"/>
      <c r="E6" s="11"/>
      <c r="F6" s="6"/>
      <c r="G6" s="6"/>
      <c r="H6" s="6"/>
      <c r="I6" s="10"/>
      <c r="J6" s="6"/>
      <c r="K6" s="6"/>
      <c r="L6" s="6"/>
      <c r="M6" s="6"/>
      <c r="N6" s="6"/>
      <c r="O6" s="6"/>
      <c r="P6" s="6"/>
      <c r="Q6" s="6"/>
      <c r="R6" s="6"/>
      <c r="S6" s="6"/>
      <c r="T6" s="6"/>
      <c r="U6" s="6"/>
      <c r="V6" s="6"/>
      <c r="W6" s="6"/>
      <c r="X6" s="6"/>
      <c r="Y6" s="6"/>
      <c r="Z6" s="6"/>
      <c r="AA6" s="6"/>
    </row>
    <row r="7" spans="1:27" ht="26.25" customHeight="1">
      <c r="A7" s="7"/>
      <c r="B7" s="6"/>
      <c r="C7" s="6"/>
      <c r="D7" s="6"/>
      <c r="E7" s="119"/>
      <c r="F7" s="6"/>
      <c r="G7" s="6"/>
      <c r="H7" s="6"/>
      <c r="I7" s="10"/>
      <c r="J7" s="6"/>
      <c r="K7" s="6"/>
      <c r="L7" s="6"/>
      <c r="M7" s="6"/>
      <c r="N7" s="6"/>
      <c r="O7" s="6"/>
      <c r="P7" s="6"/>
      <c r="Q7" s="6"/>
      <c r="R7" s="6"/>
      <c r="S7" s="6"/>
      <c r="T7" s="6"/>
      <c r="U7" s="6"/>
      <c r="V7" s="6"/>
      <c r="W7" s="6"/>
      <c r="X7" s="6"/>
      <c r="Y7" s="6"/>
      <c r="Z7" s="6"/>
      <c r="AA7" s="6"/>
    </row>
    <row r="8" spans="1:27" ht="26.25" customHeight="1">
      <c r="A8" s="7"/>
      <c r="B8" s="6"/>
      <c r="C8" s="6"/>
      <c r="D8" s="6"/>
      <c r="E8" s="117"/>
      <c r="F8" s="6"/>
      <c r="G8" s="6"/>
      <c r="H8" s="6"/>
      <c r="I8" s="10"/>
      <c r="J8" s="6"/>
      <c r="K8" s="6"/>
      <c r="L8" s="6"/>
      <c r="M8" s="6"/>
      <c r="N8" s="6"/>
      <c r="O8" s="6"/>
      <c r="P8" s="6"/>
      <c r="Q8" s="6"/>
      <c r="R8" s="6"/>
      <c r="S8" s="6"/>
      <c r="T8" s="6"/>
      <c r="U8" s="6"/>
      <c r="V8" s="6"/>
      <c r="W8" s="6"/>
      <c r="X8" s="6"/>
      <c r="Y8" s="6"/>
      <c r="Z8" s="6"/>
      <c r="AA8" s="6"/>
    </row>
    <row r="9" spans="1:27" ht="26.25" customHeight="1">
      <c r="A9" s="116"/>
      <c r="B9" s="117"/>
      <c r="C9" s="117"/>
      <c r="D9" s="117"/>
      <c r="E9" s="117"/>
      <c r="F9" s="117"/>
      <c r="G9" s="117"/>
      <c r="H9" s="117"/>
      <c r="I9" s="118"/>
      <c r="J9" s="6"/>
      <c r="K9" s="6"/>
      <c r="L9" s="6"/>
      <c r="M9" s="6"/>
      <c r="N9" s="6"/>
      <c r="O9" s="6"/>
      <c r="P9" s="6"/>
      <c r="Q9" s="6"/>
      <c r="R9" s="6"/>
      <c r="S9" s="6"/>
      <c r="T9" s="6"/>
      <c r="U9" s="6"/>
      <c r="V9" s="6"/>
      <c r="W9" s="6"/>
      <c r="X9" s="6"/>
      <c r="Y9" s="6"/>
      <c r="Z9" s="6"/>
      <c r="AA9" s="6"/>
    </row>
    <row r="10" spans="1:27" ht="26.25" customHeight="1">
      <c r="A10" s="123" t="s">
        <v>1</v>
      </c>
      <c r="B10" s="117"/>
      <c r="C10" s="117"/>
      <c r="D10" s="117"/>
      <c r="E10" s="117"/>
      <c r="F10" s="117"/>
      <c r="G10" s="117"/>
      <c r="H10" s="117"/>
      <c r="I10" s="118"/>
      <c r="J10" s="12"/>
      <c r="K10" s="6"/>
      <c r="L10" s="6"/>
      <c r="M10" s="6"/>
      <c r="N10" s="6"/>
      <c r="O10" s="6"/>
      <c r="P10" s="6"/>
      <c r="Q10" s="6"/>
      <c r="R10" s="6"/>
      <c r="S10" s="6"/>
      <c r="T10" s="6"/>
      <c r="U10" s="6"/>
      <c r="V10" s="6"/>
      <c r="W10" s="6"/>
      <c r="X10" s="6"/>
      <c r="Y10" s="6"/>
      <c r="Z10" s="6"/>
      <c r="AA10" s="6"/>
    </row>
    <row r="11" spans="1:27" ht="26.25" customHeight="1">
      <c r="A11" s="124"/>
      <c r="B11" s="117"/>
      <c r="C11" s="117"/>
      <c r="D11" s="117"/>
      <c r="E11" s="117"/>
      <c r="F11" s="117"/>
      <c r="G11" s="117"/>
      <c r="H11" s="117"/>
      <c r="I11" s="118"/>
      <c r="J11" s="6"/>
      <c r="K11" s="6"/>
      <c r="L11" s="6"/>
      <c r="M11" s="6"/>
      <c r="N11" s="6"/>
      <c r="O11" s="6"/>
      <c r="P11" s="6"/>
      <c r="Q11" s="6"/>
      <c r="R11" s="6"/>
      <c r="S11" s="6"/>
      <c r="T11" s="6"/>
      <c r="U11" s="6"/>
      <c r="V11" s="6"/>
      <c r="W11" s="6"/>
      <c r="X11" s="6"/>
      <c r="Y11" s="6"/>
      <c r="Z11" s="6"/>
      <c r="AA11" s="6"/>
    </row>
    <row r="12" spans="1:27" ht="26.25" customHeight="1">
      <c r="A12" s="7"/>
      <c r="B12" s="6"/>
      <c r="C12" s="6"/>
      <c r="D12" s="6"/>
      <c r="E12" s="6"/>
      <c r="F12" s="6"/>
      <c r="G12" s="6"/>
      <c r="H12" s="6"/>
      <c r="I12" s="10"/>
      <c r="J12" s="6"/>
      <c r="K12" s="6"/>
      <c r="L12" s="6"/>
      <c r="M12" s="6"/>
      <c r="N12" s="6"/>
      <c r="O12" s="6"/>
      <c r="P12" s="6"/>
      <c r="Q12" s="6"/>
      <c r="R12" s="6"/>
      <c r="S12" s="6"/>
      <c r="T12" s="6"/>
      <c r="U12" s="6"/>
      <c r="V12" s="6"/>
      <c r="W12" s="6"/>
      <c r="X12" s="6"/>
      <c r="Y12" s="6"/>
      <c r="Z12" s="6"/>
      <c r="AA12" s="6"/>
    </row>
    <row r="13" spans="1:27" ht="26.25" customHeight="1">
      <c r="A13" s="7"/>
      <c r="B13" s="6"/>
      <c r="C13" s="6"/>
      <c r="D13" s="6"/>
      <c r="E13" s="6"/>
      <c r="F13" s="6"/>
      <c r="G13" s="6"/>
      <c r="H13" s="6"/>
      <c r="I13" s="10"/>
      <c r="J13" s="6"/>
      <c r="K13" s="6"/>
      <c r="L13" s="6"/>
      <c r="M13" s="11"/>
      <c r="N13" s="6"/>
      <c r="O13" s="6"/>
      <c r="P13" s="11"/>
      <c r="Q13" s="6"/>
      <c r="R13" s="6"/>
      <c r="S13" s="6"/>
      <c r="T13" s="6"/>
      <c r="U13" s="6"/>
      <c r="V13" s="6"/>
      <c r="W13" s="6"/>
      <c r="X13" s="6"/>
      <c r="Y13" s="6"/>
      <c r="Z13" s="6"/>
      <c r="AA13" s="6"/>
    </row>
    <row r="14" spans="1:27" ht="26.25" customHeight="1">
      <c r="A14" s="7"/>
      <c r="B14" s="6"/>
      <c r="C14" s="6"/>
      <c r="D14" s="6"/>
      <c r="E14" s="6"/>
      <c r="F14" s="6"/>
      <c r="G14" s="6"/>
      <c r="H14" s="6"/>
      <c r="I14" s="10"/>
      <c r="J14" s="6"/>
      <c r="K14" s="6"/>
      <c r="L14" s="6"/>
      <c r="M14" s="6"/>
      <c r="N14" s="6"/>
      <c r="O14" s="6"/>
      <c r="P14" s="6"/>
      <c r="Q14" s="6"/>
      <c r="R14" s="6"/>
      <c r="S14" s="6"/>
      <c r="T14" s="6"/>
      <c r="U14" s="6"/>
      <c r="V14" s="6"/>
      <c r="W14" s="6"/>
      <c r="X14" s="6"/>
      <c r="Y14" s="6"/>
      <c r="Z14" s="6"/>
      <c r="AA14" s="6"/>
    </row>
    <row r="15" spans="1:27" ht="26.25" customHeight="1">
      <c r="A15" s="7"/>
      <c r="B15" s="6"/>
      <c r="C15" s="6"/>
      <c r="D15" s="6"/>
      <c r="E15" s="6"/>
      <c r="F15" s="13"/>
      <c r="G15" s="6"/>
      <c r="H15" s="6"/>
      <c r="I15" s="10"/>
      <c r="J15" s="6"/>
      <c r="K15" s="6"/>
      <c r="L15" s="6"/>
      <c r="M15" s="6"/>
      <c r="N15" s="6"/>
      <c r="O15" s="6"/>
      <c r="P15" s="6"/>
      <c r="Q15" s="6"/>
      <c r="R15" s="6"/>
      <c r="S15" s="6"/>
      <c r="T15" s="6"/>
      <c r="U15" s="6"/>
      <c r="V15" s="6"/>
      <c r="W15" s="6"/>
      <c r="X15" s="6"/>
      <c r="Y15" s="6"/>
      <c r="Z15" s="6"/>
      <c r="AA15" s="6"/>
    </row>
    <row r="16" spans="1:27" ht="26.25" customHeight="1">
      <c r="A16" s="7"/>
      <c r="B16" s="6"/>
      <c r="C16" s="6" t="s">
        <v>2</v>
      </c>
      <c r="D16" s="6" t="s">
        <v>3</v>
      </c>
      <c r="E16" s="14"/>
      <c r="F16" s="6"/>
      <c r="G16" s="6"/>
      <c r="H16" s="6"/>
      <c r="I16" s="10"/>
      <c r="J16" s="6"/>
      <c r="K16" s="6"/>
      <c r="L16" s="6"/>
      <c r="M16" s="6"/>
      <c r="N16" s="6"/>
      <c r="O16" s="6"/>
      <c r="P16" s="6"/>
      <c r="Q16" s="6"/>
      <c r="R16" s="6"/>
      <c r="S16" s="6"/>
      <c r="T16" s="6"/>
      <c r="U16" s="6"/>
      <c r="V16" s="6"/>
      <c r="W16" s="6"/>
      <c r="X16" s="6"/>
      <c r="Y16" s="6"/>
      <c r="Z16" s="6"/>
      <c r="AA16" s="6"/>
    </row>
    <row r="17" spans="1:27" ht="26.25" customHeight="1">
      <c r="A17" s="15"/>
      <c r="B17" s="13"/>
      <c r="C17" s="6" t="s">
        <v>4</v>
      </c>
      <c r="D17" s="6" t="s">
        <v>5</v>
      </c>
      <c r="E17" s="14"/>
      <c r="F17" s="13"/>
      <c r="G17" s="13"/>
      <c r="H17" s="13"/>
      <c r="I17" s="16"/>
      <c r="J17" s="6"/>
      <c r="K17" s="6"/>
      <c r="L17" s="6"/>
      <c r="M17" s="6"/>
      <c r="N17" s="6"/>
      <c r="O17" s="6"/>
      <c r="P17" s="6"/>
      <c r="Q17" s="6"/>
      <c r="R17" s="6"/>
      <c r="S17" s="6"/>
      <c r="T17" s="6"/>
      <c r="U17" s="6"/>
      <c r="V17" s="6"/>
      <c r="W17" s="6"/>
      <c r="X17" s="6"/>
      <c r="Y17" s="6"/>
      <c r="Z17" s="6"/>
      <c r="AA17" s="6"/>
    </row>
    <row r="18" spans="1:27" ht="26.25" customHeight="1">
      <c r="A18" s="7"/>
      <c r="B18" s="6"/>
      <c r="C18" s="6"/>
      <c r="D18" s="6"/>
      <c r="E18" s="17"/>
      <c r="F18" s="6"/>
      <c r="G18" s="6"/>
      <c r="H18" s="6"/>
      <c r="I18" s="10"/>
      <c r="J18" s="6"/>
      <c r="K18" s="6"/>
      <c r="L18" s="6"/>
      <c r="M18" s="6"/>
      <c r="N18" s="6"/>
      <c r="O18" s="6"/>
      <c r="P18" s="6"/>
      <c r="Q18" s="6"/>
      <c r="R18" s="6"/>
      <c r="S18" s="6"/>
      <c r="T18" s="6"/>
      <c r="U18" s="6"/>
      <c r="V18" s="6"/>
      <c r="W18" s="6"/>
      <c r="X18" s="6"/>
      <c r="Y18" s="6"/>
      <c r="Z18" s="6"/>
      <c r="AA18" s="6"/>
    </row>
    <row r="19" spans="1:27" ht="26.25" customHeight="1">
      <c r="A19" s="7"/>
      <c r="B19" s="6"/>
      <c r="C19" s="6"/>
      <c r="D19" s="6"/>
      <c r="E19" s="17"/>
      <c r="F19" s="6"/>
      <c r="G19" s="6"/>
      <c r="H19" s="6"/>
      <c r="I19" s="10"/>
      <c r="J19" s="6"/>
      <c r="K19" s="6"/>
      <c r="L19" s="6"/>
      <c r="M19" s="6"/>
      <c r="N19" s="6"/>
      <c r="O19" s="6"/>
      <c r="P19" s="6"/>
      <c r="Q19" s="6"/>
      <c r="R19" s="6"/>
      <c r="S19" s="6"/>
      <c r="T19" s="6"/>
      <c r="U19" s="6"/>
      <c r="V19" s="6"/>
      <c r="W19" s="6"/>
      <c r="X19" s="6"/>
      <c r="Y19" s="6"/>
      <c r="Z19" s="6"/>
      <c r="AA19" s="6"/>
    </row>
    <row r="20" spans="1:27" ht="26.25" customHeight="1">
      <c r="A20" s="18" t="s">
        <v>6</v>
      </c>
      <c r="B20" s="6" t="s">
        <v>7</v>
      </c>
      <c r="C20" s="6"/>
      <c r="D20" s="6"/>
      <c r="E20" s="6"/>
      <c r="F20" s="6"/>
      <c r="G20" s="6"/>
      <c r="H20" s="6"/>
      <c r="I20" s="10"/>
      <c r="J20" s="6"/>
      <c r="K20" s="6"/>
      <c r="L20" s="6"/>
      <c r="M20" s="6"/>
      <c r="N20" s="6"/>
      <c r="O20" s="6"/>
      <c r="P20" s="6"/>
      <c r="Q20" s="6"/>
      <c r="R20" s="6"/>
      <c r="S20" s="6"/>
      <c r="T20" s="6"/>
      <c r="U20" s="6"/>
      <c r="V20" s="6"/>
      <c r="W20" s="6"/>
      <c r="X20" s="6"/>
      <c r="Y20" s="6"/>
      <c r="Z20" s="6"/>
      <c r="AA20" s="6"/>
    </row>
    <row r="21" spans="1:27" ht="26.25" customHeight="1">
      <c r="A21" s="19"/>
      <c r="B21" s="6"/>
      <c r="C21" s="20"/>
      <c r="D21" s="6"/>
      <c r="E21" s="6"/>
      <c r="F21" s="21" t="s">
        <v>8</v>
      </c>
      <c r="G21" s="6"/>
      <c r="H21" s="22"/>
      <c r="I21" s="10"/>
      <c r="J21" s="6"/>
      <c r="K21" s="6"/>
      <c r="L21" s="6"/>
      <c r="M21" s="6"/>
      <c r="N21" s="6"/>
      <c r="O21" s="6"/>
      <c r="P21" s="6"/>
      <c r="Q21" s="6"/>
      <c r="R21" s="6"/>
      <c r="S21" s="6"/>
      <c r="T21" s="6"/>
      <c r="U21" s="6"/>
      <c r="V21" s="6"/>
      <c r="W21" s="6"/>
      <c r="X21" s="6"/>
      <c r="Y21" s="6"/>
      <c r="Z21" s="6"/>
      <c r="AA21" s="6"/>
    </row>
    <row r="22" spans="1:27" ht="26.25" customHeight="1">
      <c r="A22" s="19"/>
      <c r="B22" s="6"/>
      <c r="C22" s="6"/>
      <c r="D22" s="6"/>
      <c r="E22" s="6"/>
      <c r="F22" s="6"/>
      <c r="G22" s="6"/>
      <c r="H22" s="6"/>
      <c r="I22" s="10"/>
      <c r="J22" s="6"/>
      <c r="K22" s="6"/>
      <c r="L22" s="6"/>
      <c r="M22" s="6"/>
      <c r="N22" s="6"/>
      <c r="O22" s="6"/>
      <c r="P22" s="6"/>
      <c r="Q22" s="6"/>
      <c r="R22" s="6"/>
      <c r="S22" s="6"/>
      <c r="T22" s="6"/>
      <c r="U22" s="6"/>
      <c r="V22" s="6"/>
      <c r="W22" s="6"/>
      <c r="X22" s="6"/>
      <c r="Y22" s="6"/>
      <c r="Z22" s="6"/>
      <c r="AA22" s="6"/>
    </row>
    <row r="23" spans="1:27" ht="26.25" customHeight="1">
      <c r="A23" s="19"/>
      <c r="B23" s="6"/>
      <c r="C23" s="6"/>
      <c r="D23" s="6"/>
      <c r="E23" s="6"/>
      <c r="F23" s="6"/>
      <c r="G23" s="6"/>
      <c r="H23" s="6"/>
      <c r="I23" s="10"/>
      <c r="J23" s="6"/>
      <c r="K23" s="6"/>
      <c r="L23" s="6"/>
      <c r="M23" s="6"/>
      <c r="N23" s="6"/>
      <c r="O23" s="6"/>
      <c r="P23" s="6"/>
      <c r="Q23" s="6"/>
      <c r="R23" s="6"/>
      <c r="S23" s="6"/>
      <c r="T23" s="6"/>
      <c r="U23" s="6"/>
      <c r="V23" s="6"/>
      <c r="W23" s="6"/>
      <c r="X23" s="6"/>
      <c r="Y23" s="6"/>
      <c r="Z23" s="6"/>
      <c r="AA23" s="6"/>
    </row>
    <row r="24" spans="1:27" ht="26.25" customHeight="1">
      <c r="A24" s="18"/>
      <c r="B24" s="6"/>
      <c r="C24" s="6"/>
      <c r="D24" s="6"/>
      <c r="E24" s="6"/>
      <c r="F24" s="6"/>
      <c r="G24" s="6"/>
      <c r="H24" s="6"/>
      <c r="I24" s="10"/>
      <c r="J24" s="6"/>
      <c r="K24" s="6"/>
      <c r="L24" s="6"/>
      <c r="M24" s="6"/>
      <c r="N24" s="6"/>
      <c r="O24" s="6"/>
      <c r="P24" s="6"/>
      <c r="Q24" s="6"/>
      <c r="R24" s="6"/>
      <c r="S24" s="6"/>
      <c r="T24" s="6"/>
      <c r="U24" s="6"/>
      <c r="V24" s="6"/>
      <c r="W24" s="6"/>
      <c r="X24" s="6"/>
      <c r="Y24" s="6"/>
      <c r="Z24" s="6"/>
      <c r="AA24" s="6"/>
    </row>
    <row r="25" spans="1:27" ht="26.25" customHeight="1">
      <c r="A25" s="18"/>
      <c r="B25" s="6"/>
      <c r="C25" s="6"/>
      <c r="D25" s="6"/>
      <c r="E25" s="6"/>
      <c r="F25" s="6"/>
      <c r="G25" s="6"/>
      <c r="H25" s="6"/>
      <c r="I25" s="10"/>
      <c r="J25" s="6"/>
      <c r="K25" s="6"/>
      <c r="L25" s="6"/>
      <c r="M25" s="6"/>
      <c r="N25" s="6"/>
      <c r="O25" s="6"/>
      <c r="P25" s="6"/>
      <c r="Q25" s="6"/>
      <c r="R25" s="6"/>
      <c r="S25" s="6"/>
      <c r="T25" s="6"/>
      <c r="U25" s="6"/>
      <c r="V25" s="6"/>
      <c r="W25" s="6"/>
      <c r="X25" s="6"/>
      <c r="Y25" s="6"/>
      <c r="Z25" s="6"/>
      <c r="AA25" s="6"/>
    </row>
    <row r="26" spans="1:27" ht="26.25" customHeight="1">
      <c r="A26" s="18" t="s">
        <v>9</v>
      </c>
      <c r="B26" s="6"/>
      <c r="C26" s="6" t="s">
        <v>10</v>
      </c>
      <c r="D26" s="6"/>
      <c r="E26" s="6"/>
      <c r="F26" s="6"/>
      <c r="G26" s="6"/>
      <c r="H26" s="6"/>
      <c r="I26" s="10"/>
      <c r="J26" s="6"/>
      <c r="K26" s="6"/>
      <c r="L26" s="6"/>
      <c r="M26" s="6"/>
      <c r="N26" s="6"/>
      <c r="O26" s="6"/>
      <c r="P26" s="6"/>
      <c r="Q26" s="6"/>
      <c r="R26" s="6"/>
      <c r="S26" s="6"/>
      <c r="T26" s="6"/>
      <c r="U26" s="6"/>
      <c r="V26" s="6"/>
      <c r="W26" s="6"/>
      <c r="X26" s="6"/>
      <c r="Y26" s="6"/>
      <c r="Z26" s="6"/>
      <c r="AA26" s="6"/>
    </row>
    <row r="27" spans="1:27" ht="26.25" customHeight="1">
      <c r="A27" s="19"/>
      <c r="B27" s="6"/>
      <c r="C27" s="17"/>
      <c r="D27" s="6"/>
      <c r="E27" s="6"/>
      <c r="F27" s="6" t="s">
        <v>11</v>
      </c>
      <c r="G27" s="6"/>
      <c r="H27" s="6"/>
      <c r="I27" s="10"/>
      <c r="J27" s="6"/>
      <c r="K27" s="6"/>
      <c r="L27" s="6"/>
      <c r="M27" s="6"/>
      <c r="N27" s="6"/>
      <c r="O27" s="6"/>
      <c r="P27" s="6"/>
      <c r="Q27" s="6"/>
      <c r="R27" s="6"/>
      <c r="S27" s="6"/>
      <c r="T27" s="6"/>
      <c r="U27" s="6"/>
      <c r="V27" s="6"/>
      <c r="W27" s="6"/>
      <c r="X27" s="6"/>
      <c r="Y27" s="6"/>
      <c r="Z27" s="6"/>
      <c r="AA27" s="6"/>
    </row>
    <row r="28" spans="1:27" ht="26.25" customHeight="1">
      <c r="A28" s="19"/>
      <c r="B28" s="6"/>
      <c r="C28" s="6"/>
      <c r="D28" s="6"/>
      <c r="E28" s="6"/>
      <c r="F28" s="22"/>
      <c r="G28" s="6"/>
      <c r="H28" s="6"/>
      <c r="I28" s="10"/>
      <c r="J28" s="6"/>
      <c r="K28" s="6"/>
      <c r="L28" s="6"/>
      <c r="M28" s="6"/>
      <c r="N28" s="6"/>
      <c r="O28" s="6"/>
      <c r="P28" s="6"/>
      <c r="Q28" s="6"/>
      <c r="R28" s="6"/>
      <c r="S28" s="6"/>
      <c r="T28" s="6"/>
      <c r="U28" s="6"/>
      <c r="V28" s="6"/>
      <c r="W28" s="6"/>
      <c r="X28" s="6"/>
      <c r="Y28" s="6"/>
      <c r="Z28" s="6"/>
      <c r="AA28" s="6"/>
    </row>
    <row r="29" spans="1:27" ht="26.25" customHeight="1">
      <c r="A29" s="19"/>
      <c r="B29" s="6"/>
      <c r="C29" s="6"/>
      <c r="D29" s="6"/>
      <c r="E29" s="6"/>
      <c r="F29" s="6"/>
      <c r="G29" s="6"/>
      <c r="H29" s="6"/>
      <c r="I29" s="10"/>
      <c r="J29" s="6"/>
      <c r="K29" s="6"/>
      <c r="L29" s="6"/>
      <c r="M29" s="6"/>
      <c r="N29" s="6"/>
      <c r="O29" s="6"/>
      <c r="P29" s="6"/>
      <c r="Q29" s="6"/>
      <c r="R29" s="6"/>
      <c r="S29" s="6"/>
      <c r="T29" s="6"/>
      <c r="U29" s="6"/>
      <c r="V29" s="6"/>
      <c r="W29" s="6"/>
      <c r="X29" s="6"/>
      <c r="Y29" s="6"/>
      <c r="Z29" s="6"/>
      <c r="AA29" s="6"/>
    </row>
    <row r="30" spans="1:27" ht="26.25" customHeight="1">
      <c r="A30" s="19"/>
      <c r="B30" s="6"/>
      <c r="C30" s="6"/>
      <c r="D30" s="6"/>
      <c r="E30" s="6"/>
      <c r="F30" s="6"/>
      <c r="G30" s="6"/>
      <c r="H30" s="6"/>
      <c r="I30" s="10"/>
      <c r="J30" s="6"/>
      <c r="K30" s="6"/>
      <c r="L30" s="6"/>
      <c r="M30" s="6"/>
      <c r="N30" s="6"/>
      <c r="O30" s="6"/>
      <c r="P30" s="6"/>
      <c r="Q30" s="6"/>
      <c r="R30" s="6"/>
      <c r="S30" s="6"/>
      <c r="T30" s="6"/>
      <c r="U30" s="6"/>
      <c r="V30" s="6"/>
      <c r="W30" s="6"/>
      <c r="X30" s="6"/>
      <c r="Y30" s="6"/>
      <c r="Z30" s="6"/>
      <c r="AA30" s="6"/>
    </row>
    <row r="31" spans="1:27" ht="26.25" customHeight="1">
      <c r="A31" s="19"/>
      <c r="B31" s="6"/>
      <c r="C31" s="6"/>
      <c r="D31" s="6"/>
      <c r="E31" s="6"/>
      <c r="F31" s="6"/>
      <c r="G31" s="6"/>
      <c r="H31" s="6"/>
      <c r="I31" s="10"/>
      <c r="J31" s="6"/>
      <c r="K31" s="6"/>
      <c r="L31" s="6"/>
      <c r="M31" s="6"/>
      <c r="N31" s="6"/>
      <c r="O31" s="6"/>
      <c r="P31" s="6"/>
      <c r="Q31" s="6"/>
      <c r="R31" s="6"/>
      <c r="S31" s="6"/>
      <c r="T31" s="6"/>
      <c r="U31" s="6"/>
      <c r="V31" s="6"/>
      <c r="W31" s="6"/>
      <c r="X31" s="6"/>
      <c r="Y31" s="6"/>
      <c r="Z31" s="6"/>
      <c r="AA31" s="6"/>
    </row>
    <row r="32" spans="1:27" ht="26.25" customHeight="1">
      <c r="A32" s="18" t="s">
        <v>12</v>
      </c>
      <c r="B32" s="6"/>
      <c r="C32" s="6"/>
      <c r="D32" s="6"/>
      <c r="E32" s="6"/>
      <c r="F32" s="6"/>
      <c r="G32" s="6"/>
      <c r="H32" s="6"/>
      <c r="I32" s="10"/>
      <c r="J32" s="6"/>
      <c r="K32" s="6"/>
      <c r="L32" s="6"/>
      <c r="M32" s="6"/>
      <c r="N32" s="6"/>
      <c r="O32" s="6"/>
      <c r="P32" s="6"/>
      <c r="Q32" s="6"/>
      <c r="R32" s="6"/>
      <c r="S32" s="6"/>
      <c r="T32" s="6"/>
      <c r="U32" s="6"/>
      <c r="V32" s="6"/>
      <c r="W32" s="6"/>
      <c r="X32" s="6"/>
      <c r="Y32" s="6"/>
      <c r="Z32" s="6"/>
      <c r="AA32" s="6"/>
    </row>
    <row r="33" spans="1:27" ht="26.25" customHeight="1">
      <c r="A33" s="7"/>
      <c r="B33" s="6"/>
      <c r="C33" s="17"/>
      <c r="D33" s="6"/>
      <c r="E33" s="6"/>
      <c r="F33" s="6" t="s">
        <v>13</v>
      </c>
      <c r="G33" s="6"/>
      <c r="H33" s="6"/>
      <c r="I33" s="10"/>
      <c r="J33" s="6"/>
      <c r="K33" s="6"/>
      <c r="L33" s="6"/>
      <c r="M33" s="6"/>
      <c r="N33" s="6"/>
      <c r="O33" s="6"/>
      <c r="P33" s="6"/>
      <c r="Q33" s="6"/>
      <c r="R33" s="6"/>
      <c r="S33" s="6"/>
      <c r="T33" s="6"/>
      <c r="U33" s="6"/>
      <c r="V33" s="6"/>
      <c r="W33" s="6"/>
      <c r="X33" s="6"/>
      <c r="Y33" s="6"/>
      <c r="Z33" s="6"/>
      <c r="AA33" s="6"/>
    </row>
    <row r="34" spans="1:27" ht="26.25" customHeight="1">
      <c r="A34" s="7"/>
      <c r="B34" s="6"/>
      <c r="C34" s="6"/>
      <c r="D34" s="6"/>
      <c r="E34" s="6"/>
      <c r="F34" s="6"/>
      <c r="G34" s="6"/>
      <c r="H34" s="6"/>
      <c r="I34" s="10"/>
      <c r="J34" s="6"/>
      <c r="K34" s="6"/>
      <c r="L34" s="6"/>
      <c r="M34" s="6"/>
      <c r="N34" s="6"/>
      <c r="O34" s="6"/>
      <c r="P34" s="6"/>
      <c r="Q34" s="6"/>
      <c r="R34" s="6"/>
      <c r="S34" s="6"/>
      <c r="T34" s="6"/>
      <c r="U34" s="6"/>
      <c r="V34" s="6"/>
      <c r="W34" s="6"/>
      <c r="X34" s="6"/>
      <c r="Y34" s="6"/>
      <c r="Z34" s="6"/>
      <c r="AA34" s="6"/>
    </row>
    <row r="35" spans="1:27" ht="26.25" customHeight="1">
      <c r="A35" s="23"/>
      <c r="B35" s="24"/>
      <c r="C35" s="24"/>
      <c r="D35" s="24"/>
      <c r="E35" s="24"/>
      <c r="F35" s="24"/>
      <c r="G35" s="24"/>
      <c r="H35" s="24"/>
      <c r="I35" s="25"/>
      <c r="J35" s="6"/>
      <c r="K35" s="6"/>
      <c r="L35" s="6"/>
      <c r="M35" s="6"/>
      <c r="N35" s="6"/>
      <c r="O35" s="6"/>
      <c r="P35" s="6"/>
      <c r="Q35" s="6"/>
      <c r="R35" s="6"/>
      <c r="S35" s="6"/>
      <c r="T35" s="6"/>
      <c r="U35" s="6"/>
      <c r="V35" s="6"/>
      <c r="W35" s="6"/>
      <c r="X35" s="6"/>
      <c r="Y35" s="6"/>
      <c r="Z35" s="6"/>
      <c r="AA35" s="6"/>
    </row>
    <row r="36" spans="1:27" ht="26.2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26.25" customHeight="1">
      <c r="A37" s="125" t="s">
        <v>14</v>
      </c>
      <c r="B37" s="117"/>
      <c r="C37" s="117"/>
      <c r="D37" s="117"/>
      <c r="E37" s="117"/>
      <c r="F37" s="117"/>
      <c r="G37" s="117"/>
      <c r="H37" s="6"/>
      <c r="I37" s="6"/>
      <c r="J37" s="6"/>
      <c r="K37" s="6"/>
      <c r="L37" s="6"/>
      <c r="M37" s="6"/>
      <c r="N37" s="6"/>
      <c r="O37" s="6"/>
      <c r="P37" s="6"/>
      <c r="Q37" s="6"/>
      <c r="R37" s="6"/>
      <c r="S37" s="6"/>
      <c r="T37" s="6"/>
      <c r="U37" s="6"/>
      <c r="V37" s="6"/>
      <c r="W37" s="6"/>
      <c r="X37" s="6"/>
      <c r="Y37" s="6"/>
      <c r="Z37" s="6"/>
      <c r="AA37" s="6"/>
    </row>
    <row r="38" spans="1:27" ht="26.2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26.25" customHeight="1">
      <c r="A39" s="26" t="s">
        <v>15</v>
      </c>
      <c r="B39" s="26" t="s">
        <v>16</v>
      </c>
      <c r="C39" s="26" t="s">
        <v>17</v>
      </c>
      <c r="D39" s="26" t="s">
        <v>18</v>
      </c>
      <c r="E39" s="26" t="s">
        <v>19</v>
      </c>
      <c r="F39" s="26" t="s">
        <v>20</v>
      </c>
      <c r="G39" s="126" t="s">
        <v>21</v>
      </c>
      <c r="H39" s="121"/>
      <c r="I39" s="122"/>
      <c r="J39" s="6"/>
      <c r="K39" s="6"/>
      <c r="L39" s="6"/>
      <c r="M39" s="6"/>
      <c r="N39" s="6"/>
      <c r="O39" s="6"/>
      <c r="P39" s="6"/>
      <c r="Q39" s="6"/>
      <c r="R39" s="6"/>
      <c r="S39" s="6"/>
      <c r="T39" s="6"/>
      <c r="U39" s="6"/>
      <c r="V39" s="6"/>
      <c r="W39" s="6"/>
      <c r="X39" s="6"/>
      <c r="Y39" s="6"/>
      <c r="Z39" s="6"/>
      <c r="AA39" s="6"/>
    </row>
    <row r="40" spans="1:27" ht="26.25" customHeight="1">
      <c r="A40" s="27">
        <v>46224</v>
      </c>
      <c r="B40" s="28" t="s">
        <v>22</v>
      </c>
      <c r="C40" s="28" t="s">
        <v>23</v>
      </c>
      <c r="D40" s="28"/>
      <c r="E40" s="28"/>
      <c r="F40" s="28" t="s">
        <v>24</v>
      </c>
      <c r="G40" s="127" t="s">
        <v>25</v>
      </c>
      <c r="H40" s="121"/>
      <c r="I40" s="122"/>
      <c r="J40" s="29"/>
      <c r="K40" s="29"/>
      <c r="L40" s="29"/>
      <c r="M40" s="29"/>
      <c r="N40" s="29"/>
      <c r="O40" s="29"/>
      <c r="P40" s="29"/>
      <c r="Q40" s="29"/>
      <c r="R40" s="29"/>
      <c r="S40" s="29"/>
      <c r="T40" s="29"/>
      <c r="U40" s="29"/>
      <c r="V40" s="29"/>
      <c r="W40" s="29"/>
      <c r="X40" s="29"/>
      <c r="Y40" s="29"/>
      <c r="Z40" s="29"/>
      <c r="AA40" s="29"/>
    </row>
    <row r="41" spans="1:27" ht="26.25" customHeight="1">
      <c r="A41" s="30"/>
      <c r="B41" s="30"/>
      <c r="C41" s="30"/>
      <c r="D41" s="30"/>
      <c r="E41" s="30"/>
      <c r="F41" s="30"/>
      <c r="G41" s="120"/>
      <c r="H41" s="121"/>
      <c r="I41" s="122"/>
      <c r="J41" s="6"/>
      <c r="K41" s="6"/>
      <c r="L41" s="6"/>
      <c r="M41" s="6"/>
      <c r="N41" s="6"/>
      <c r="O41" s="6"/>
      <c r="P41" s="6"/>
      <c r="Q41" s="6"/>
      <c r="R41" s="6"/>
      <c r="S41" s="6"/>
      <c r="T41" s="6"/>
      <c r="U41" s="6"/>
      <c r="V41" s="6"/>
      <c r="W41" s="6"/>
      <c r="X41" s="6"/>
      <c r="Y41" s="6"/>
      <c r="Z41" s="6"/>
      <c r="AA41" s="6"/>
    </row>
    <row r="42" spans="1:27" ht="26.25" customHeight="1">
      <c r="A42" s="30"/>
      <c r="B42" s="30"/>
      <c r="C42" s="30"/>
      <c r="D42" s="30"/>
      <c r="E42" s="30"/>
      <c r="F42" s="30"/>
      <c r="G42" s="120"/>
      <c r="H42" s="121"/>
      <c r="I42" s="122"/>
      <c r="J42" s="6"/>
      <c r="K42" s="6"/>
      <c r="L42" s="6"/>
      <c r="M42" s="6"/>
      <c r="N42" s="6"/>
      <c r="O42" s="6"/>
      <c r="P42" s="6"/>
      <c r="Q42" s="6"/>
      <c r="R42" s="6"/>
      <c r="S42" s="6"/>
      <c r="T42" s="6"/>
      <c r="U42" s="6"/>
      <c r="V42" s="6"/>
      <c r="W42" s="6"/>
      <c r="X42" s="6"/>
      <c r="Y42" s="6"/>
      <c r="Z42" s="6"/>
      <c r="AA42" s="6"/>
    </row>
    <row r="43" spans="1:27" ht="26.25" customHeight="1">
      <c r="A43" s="30"/>
      <c r="B43" s="30"/>
      <c r="C43" s="30"/>
      <c r="D43" s="30"/>
      <c r="E43" s="30"/>
      <c r="F43" s="30"/>
      <c r="G43" s="120"/>
      <c r="H43" s="121"/>
      <c r="I43" s="122"/>
      <c r="J43" s="6"/>
      <c r="K43" s="6"/>
      <c r="L43" s="6"/>
      <c r="M43" s="6"/>
      <c r="N43" s="6"/>
      <c r="O43" s="6"/>
      <c r="P43" s="6"/>
      <c r="Q43" s="6"/>
      <c r="R43" s="6"/>
      <c r="S43" s="6"/>
      <c r="T43" s="6"/>
      <c r="U43" s="6"/>
      <c r="V43" s="6"/>
      <c r="W43" s="6"/>
      <c r="X43" s="6"/>
      <c r="Y43" s="6"/>
      <c r="Z43" s="6"/>
      <c r="AA43" s="6"/>
    </row>
    <row r="44" spans="1:27" ht="26.25" customHeight="1">
      <c r="A44" s="30"/>
      <c r="B44" s="30"/>
      <c r="C44" s="30"/>
      <c r="D44" s="30"/>
      <c r="E44" s="30"/>
      <c r="F44" s="30"/>
      <c r="G44" s="120"/>
      <c r="H44" s="121"/>
      <c r="I44" s="122"/>
      <c r="J44" s="6"/>
      <c r="K44" s="6"/>
      <c r="L44" s="6"/>
      <c r="M44" s="6"/>
      <c r="N44" s="6"/>
      <c r="O44" s="6"/>
      <c r="P44" s="6"/>
      <c r="Q44" s="6"/>
      <c r="R44" s="6"/>
      <c r="S44" s="6"/>
      <c r="T44" s="6"/>
      <c r="U44" s="6"/>
      <c r="V44" s="6"/>
      <c r="W44" s="6"/>
      <c r="X44" s="6"/>
      <c r="Y44" s="6"/>
      <c r="Z44" s="6"/>
      <c r="AA44" s="6"/>
    </row>
    <row r="45" spans="1:27" ht="26.25" customHeight="1">
      <c r="A45" s="30"/>
      <c r="B45" s="30"/>
      <c r="C45" s="30"/>
      <c r="D45" s="30"/>
      <c r="E45" s="30"/>
      <c r="F45" s="30"/>
      <c r="G45" s="120"/>
      <c r="H45" s="121"/>
      <c r="I45" s="122"/>
      <c r="J45" s="6"/>
      <c r="K45" s="6"/>
      <c r="L45" s="6"/>
      <c r="M45" s="6"/>
      <c r="N45" s="6"/>
      <c r="O45" s="6"/>
      <c r="P45" s="6"/>
      <c r="Q45" s="6"/>
      <c r="R45" s="6"/>
      <c r="S45" s="6"/>
      <c r="T45" s="6"/>
      <c r="U45" s="6"/>
      <c r="V45" s="6"/>
      <c r="W45" s="6"/>
      <c r="X45" s="6"/>
      <c r="Y45" s="6"/>
      <c r="Z45" s="6"/>
      <c r="AA45" s="6"/>
    </row>
    <row r="46" spans="1:27" ht="26.25" customHeight="1">
      <c r="A46" s="30"/>
      <c r="B46" s="30"/>
      <c r="C46" s="30"/>
      <c r="D46" s="30"/>
      <c r="E46" s="30"/>
      <c r="F46" s="30"/>
      <c r="G46" s="120"/>
      <c r="H46" s="121"/>
      <c r="I46" s="122"/>
      <c r="J46" s="6"/>
      <c r="K46" s="6"/>
      <c r="L46" s="6"/>
      <c r="M46" s="6"/>
      <c r="N46" s="6"/>
      <c r="O46" s="6"/>
      <c r="P46" s="6"/>
      <c r="Q46" s="6"/>
      <c r="R46" s="6"/>
      <c r="S46" s="6"/>
      <c r="T46" s="6"/>
      <c r="U46" s="6"/>
      <c r="V46" s="6"/>
      <c r="W46" s="6"/>
      <c r="X46" s="6"/>
      <c r="Y46" s="6"/>
      <c r="Z46" s="6"/>
      <c r="AA46" s="6"/>
    </row>
    <row r="47" spans="1:27" ht="26.25" customHeight="1">
      <c r="A47" s="30"/>
      <c r="B47" s="30"/>
      <c r="C47" s="30"/>
      <c r="D47" s="30"/>
      <c r="E47" s="30"/>
      <c r="F47" s="30"/>
      <c r="G47" s="120"/>
      <c r="H47" s="121"/>
      <c r="I47" s="122"/>
      <c r="J47" s="6"/>
      <c r="K47" s="6"/>
      <c r="L47" s="6"/>
      <c r="M47" s="6"/>
      <c r="N47" s="6"/>
      <c r="O47" s="6"/>
      <c r="P47" s="6"/>
      <c r="Q47" s="6"/>
      <c r="R47" s="6"/>
      <c r="S47" s="6"/>
      <c r="T47" s="6"/>
      <c r="U47" s="6"/>
      <c r="V47" s="6"/>
      <c r="W47" s="6"/>
      <c r="X47" s="6"/>
      <c r="Y47" s="6"/>
      <c r="Z47" s="6"/>
      <c r="AA47" s="6"/>
    </row>
    <row r="48" spans="1:27" ht="26.25" customHeight="1">
      <c r="A48" s="30"/>
      <c r="B48" s="30"/>
      <c r="C48" s="30"/>
      <c r="D48" s="30"/>
      <c r="E48" s="30"/>
      <c r="F48" s="30"/>
      <c r="G48" s="120"/>
      <c r="H48" s="121"/>
      <c r="I48" s="122"/>
      <c r="J48" s="6"/>
      <c r="K48" s="6"/>
      <c r="L48" s="6"/>
      <c r="M48" s="6"/>
      <c r="N48" s="6"/>
      <c r="O48" s="6"/>
      <c r="P48" s="6"/>
      <c r="Q48" s="6"/>
      <c r="R48" s="6"/>
      <c r="S48" s="6"/>
      <c r="T48" s="6"/>
      <c r="U48" s="6"/>
      <c r="V48" s="6"/>
      <c r="W48" s="6"/>
      <c r="X48" s="6"/>
      <c r="Y48" s="6"/>
      <c r="Z48" s="6"/>
      <c r="AA48" s="6"/>
    </row>
    <row r="49" spans="1:27" ht="26.2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26.2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26.2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26.2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26.2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26.2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26.2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26.2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26.2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26.2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26.2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26.2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26.2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26.2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26.2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26.2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26.2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26.2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26.2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26.2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26.2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26.2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26.2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26.2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26.2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26.2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26.2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26.2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26.2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26.2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26.2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26.2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26.2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26.2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26.2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26.2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26.2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26.2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26.2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26.2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26.2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26.2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26.2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26.2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26.2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26.2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26.2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26.2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26.2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26.2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26.2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26.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26.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26.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26.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26.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26.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26.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26.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26.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26.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26.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26.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26.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26.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26.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26.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26.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26.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26.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26.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26.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26.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26.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26.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26.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26.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26.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26.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26.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26.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26.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26.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26.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26.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26.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26.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26.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26.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26.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26.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26.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26.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26.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26.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26.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26.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26.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26.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26.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26.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26.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26.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26.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26.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26.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26.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26.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26.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26.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26.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26.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26.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26.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26.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26.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26.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26.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26.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26.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26.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26.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26.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26.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26.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26.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26.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26.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26.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26.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26.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26.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26.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26.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26.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26.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26.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26.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26.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26.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26.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26.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26.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26.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26.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26.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26.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26.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26.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26.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26.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26.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26.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26.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26.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26.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26.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26.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26.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26.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26.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26.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26.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26.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26.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26.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26.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26.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26.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26.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26.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26.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26.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26.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26.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26.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26.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26.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26.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26.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26.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26.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26.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26.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26.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26.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26.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26.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26.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26.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26.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26.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9:I9"/>
    <mergeCell ref="E7:E8"/>
    <mergeCell ref="G47:I47"/>
    <mergeCell ref="G48:I48"/>
    <mergeCell ref="A10:I10"/>
    <mergeCell ref="A11:I11"/>
    <mergeCell ref="A37:G37"/>
    <mergeCell ref="G39:I39"/>
    <mergeCell ref="G40:I40"/>
    <mergeCell ref="G41:I41"/>
    <mergeCell ref="G42:I42"/>
    <mergeCell ref="G43:I43"/>
    <mergeCell ref="G44:I44"/>
    <mergeCell ref="G45:I45"/>
    <mergeCell ref="G46:I46"/>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 customHeight="1"/>
  <cols>
    <col min="1" max="1" width="12.5703125" customWidth="1"/>
    <col min="2" max="2" width="32.42578125" customWidth="1"/>
    <col min="3" max="7" width="14.7109375" customWidth="1"/>
  </cols>
  <sheetData>
    <row r="1" spans="1:26" ht="15.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0.75" customHeight="1">
      <c r="A2" s="128" t="s">
        <v>26</v>
      </c>
      <c r="B2" s="129"/>
      <c r="C2" s="129"/>
      <c r="D2" s="129"/>
      <c r="E2" s="129"/>
      <c r="F2" s="129"/>
      <c r="G2" s="129"/>
      <c r="H2" s="129"/>
      <c r="I2" s="129"/>
      <c r="J2" s="130"/>
      <c r="K2" s="31"/>
      <c r="L2" s="31"/>
      <c r="M2" s="31"/>
      <c r="N2" s="31"/>
      <c r="O2" s="31"/>
      <c r="P2" s="31"/>
      <c r="Q2" s="31"/>
      <c r="R2" s="31"/>
      <c r="S2" s="31"/>
      <c r="T2" s="31"/>
      <c r="U2" s="31"/>
      <c r="V2" s="31"/>
      <c r="W2" s="31"/>
      <c r="X2" s="31"/>
      <c r="Y2" s="31"/>
      <c r="Z2" s="31"/>
    </row>
    <row r="3" spans="1:26" ht="15.75" customHeight="1">
      <c r="A3" s="32"/>
      <c r="B3" s="32"/>
      <c r="C3" s="33"/>
      <c r="D3" s="33"/>
      <c r="E3" s="33"/>
      <c r="F3" s="33"/>
      <c r="G3" s="33"/>
      <c r="H3" s="33"/>
      <c r="I3" s="33"/>
      <c r="J3" s="33"/>
      <c r="K3" s="31"/>
      <c r="L3" s="31"/>
      <c r="M3" s="31"/>
      <c r="N3" s="31"/>
      <c r="O3" s="31"/>
      <c r="P3" s="31"/>
      <c r="Q3" s="31"/>
      <c r="R3" s="31"/>
      <c r="S3" s="31"/>
      <c r="T3" s="31"/>
      <c r="U3" s="31"/>
      <c r="V3" s="31"/>
      <c r="W3" s="31"/>
      <c r="X3" s="31"/>
      <c r="Y3" s="31"/>
      <c r="Z3" s="31"/>
    </row>
    <row r="4" spans="1:26" ht="46.5" customHeight="1">
      <c r="A4" s="34" t="s">
        <v>27</v>
      </c>
      <c r="B4" s="35" t="s">
        <v>28</v>
      </c>
      <c r="C4" s="35" t="s">
        <v>29</v>
      </c>
      <c r="D4" s="35" t="s">
        <v>30</v>
      </c>
      <c r="E4" s="35" t="s">
        <v>31</v>
      </c>
      <c r="F4" s="35" t="s">
        <v>32</v>
      </c>
      <c r="G4" s="35" t="s">
        <v>33</v>
      </c>
      <c r="H4" s="35" t="s">
        <v>34</v>
      </c>
      <c r="I4" s="35" t="s">
        <v>35</v>
      </c>
      <c r="J4" s="35" t="s">
        <v>36</v>
      </c>
      <c r="K4" s="36"/>
      <c r="L4" s="36"/>
      <c r="M4" s="36"/>
      <c r="N4" s="36"/>
      <c r="O4" s="36"/>
      <c r="P4" s="36"/>
      <c r="Q4" s="36"/>
      <c r="R4" s="36"/>
      <c r="S4" s="36"/>
      <c r="T4" s="36"/>
      <c r="U4" s="36"/>
      <c r="V4" s="36"/>
      <c r="W4" s="36"/>
      <c r="X4" s="36"/>
      <c r="Y4" s="36"/>
      <c r="Z4" s="36"/>
    </row>
    <row r="5" spans="1:26" ht="30" customHeight="1">
      <c r="A5" s="37">
        <v>1</v>
      </c>
      <c r="B5" s="38" t="str">
        <f>API_dang_nhap_extension!D2</f>
        <v>API đăng nhập extension</v>
      </c>
      <c r="C5" s="39">
        <f>API_dang_nhap_extension!D4</f>
        <v>0</v>
      </c>
      <c r="D5" s="39">
        <f>API_dang_nhap_extension!D5</f>
        <v>0</v>
      </c>
      <c r="E5" s="39">
        <f>API_dang_nhap_extension!D6</f>
        <v>0</v>
      </c>
      <c r="F5" s="39">
        <f>API_dang_nhap_extension!D7</f>
        <v>27</v>
      </c>
      <c r="G5" s="39">
        <f>API_dang_nhap_extension!D8</f>
        <v>27</v>
      </c>
      <c r="H5" s="40">
        <f t="shared" ref="H5:H9" si="0">C5/G5*100%</f>
        <v>0</v>
      </c>
      <c r="I5" s="40">
        <f t="shared" ref="I5:I9" si="1">D5/G5*100%</f>
        <v>0</v>
      </c>
      <c r="J5" s="41">
        <f t="shared" ref="J5:J9" si="2">(C5+D5)/G5*100%</f>
        <v>0</v>
      </c>
      <c r="K5" s="42"/>
      <c r="L5" s="42"/>
      <c r="M5" s="42"/>
      <c r="N5" s="42"/>
      <c r="O5" s="42"/>
      <c r="P5" s="42"/>
      <c r="Q5" s="42"/>
      <c r="R5" s="42"/>
      <c r="S5" s="42"/>
      <c r="T5" s="42"/>
      <c r="U5" s="42"/>
      <c r="V5" s="42"/>
      <c r="W5" s="42"/>
      <c r="X5" s="42"/>
      <c r="Y5" s="42"/>
      <c r="Z5" s="42"/>
    </row>
    <row r="6" spans="1:26" ht="30" customHeight="1">
      <c r="A6" s="37">
        <v>2</v>
      </c>
      <c r="B6" s="38" t="str">
        <f>API_lay_thong_tin_user!D2</f>
        <v>API lấy thông tin user</v>
      </c>
      <c r="C6" s="39">
        <f>API_dang_nhap_extension!D4</f>
        <v>0</v>
      </c>
      <c r="D6" s="39">
        <f>API_lay_thong_tin_user!D5</f>
        <v>0</v>
      </c>
      <c r="E6" s="39">
        <f>API_lay_thong_tin_user!D6</f>
        <v>0</v>
      </c>
      <c r="F6" s="39">
        <f>API_lay_thong_tin_user!D7</f>
        <v>11</v>
      </c>
      <c r="G6" s="39">
        <f>API_lay_thong_tin_user!D8</f>
        <v>11</v>
      </c>
      <c r="H6" s="40">
        <f t="shared" si="0"/>
        <v>0</v>
      </c>
      <c r="I6" s="40">
        <f t="shared" si="1"/>
        <v>0</v>
      </c>
      <c r="J6" s="41">
        <f t="shared" si="2"/>
        <v>0</v>
      </c>
      <c r="K6" s="42"/>
      <c r="L6" s="42"/>
      <c r="M6" s="42"/>
      <c r="N6" s="42"/>
      <c r="O6" s="42"/>
      <c r="P6" s="42"/>
      <c r="Q6" s="42"/>
      <c r="R6" s="42"/>
      <c r="S6" s="42"/>
      <c r="T6" s="42"/>
      <c r="U6" s="42"/>
      <c r="V6" s="42"/>
      <c r="W6" s="42"/>
      <c r="X6" s="42"/>
      <c r="Y6" s="42"/>
      <c r="Z6" s="42"/>
    </row>
    <row r="7" spans="1:26" ht="30" customHeight="1">
      <c r="A7" s="37">
        <v>3</v>
      </c>
      <c r="B7" s="38" t="str">
        <f>API_lam_moi_phien_đn!D2</f>
        <v>API làm mới phiên đăng nhập</v>
      </c>
      <c r="C7" s="39">
        <f>API_lam_moi_phien_đn!D4</f>
        <v>0</v>
      </c>
      <c r="D7" s="39">
        <f>API_lam_moi_phien_đn!D5</f>
        <v>0</v>
      </c>
      <c r="E7" s="39">
        <f>API_lam_moi_phien_đn!D6</f>
        <v>0</v>
      </c>
      <c r="F7" s="39">
        <f>API_lam_moi_phien_đn!D7</f>
        <v>17</v>
      </c>
      <c r="G7" s="39">
        <f>API_lam_moi_phien_đn!D8</f>
        <v>17</v>
      </c>
      <c r="H7" s="40">
        <f t="shared" si="0"/>
        <v>0</v>
      </c>
      <c r="I7" s="40">
        <f t="shared" si="1"/>
        <v>0</v>
      </c>
      <c r="J7" s="41">
        <f t="shared" si="2"/>
        <v>0</v>
      </c>
      <c r="K7" s="42"/>
      <c r="L7" s="42"/>
      <c r="M7" s="42"/>
      <c r="N7" s="42"/>
      <c r="O7" s="42"/>
      <c r="P7" s="42"/>
      <c r="Q7" s="42"/>
      <c r="R7" s="42"/>
      <c r="S7" s="42"/>
      <c r="T7" s="42"/>
      <c r="U7" s="42"/>
      <c r="V7" s="42"/>
      <c r="W7" s="42"/>
      <c r="X7" s="42"/>
      <c r="Y7" s="42"/>
      <c r="Z7" s="42"/>
    </row>
    <row r="8" spans="1:26" ht="30" customHeight="1">
      <c r="A8" s="37">
        <v>4</v>
      </c>
      <c r="B8" s="38" t="e">
        <f>#REF!</f>
        <v>#REF!</v>
      </c>
      <c r="C8" s="39" t="e">
        <f>#REF!</f>
        <v>#REF!</v>
      </c>
      <c r="D8" s="39" t="e">
        <f>#REF!</f>
        <v>#REF!</v>
      </c>
      <c r="E8" s="39" t="e">
        <f>#REF!</f>
        <v>#REF!</v>
      </c>
      <c r="F8" s="39" t="e">
        <f>#REF!</f>
        <v>#REF!</v>
      </c>
      <c r="G8" s="39" t="e">
        <f>#REF!</f>
        <v>#REF!</v>
      </c>
      <c r="H8" s="40" t="e">
        <f t="shared" si="0"/>
        <v>#REF!</v>
      </c>
      <c r="I8" s="40" t="e">
        <f t="shared" si="1"/>
        <v>#REF!</v>
      </c>
      <c r="J8" s="41" t="e">
        <f t="shared" si="2"/>
        <v>#REF!</v>
      </c>
      <c r="K8" s="42"/>
      <c r="L8" s="42"/>
      <c r="M8" s="42"/>
      <c r="N8" s="42"/>
      <c r="O8" s="42"/>
      <c r="P8" s="42"/>
      <c r="Q8" s="42"/>
      <c r="R8" s="42"/>
      <c r="S8" s="42"/>
      <c r="T8" s="42"/>
      <c r="U8" s="42"/>
      <c r="V8" s="42"/>
      <c r="W8" s="42"/>
      <c r="X8" s="42"/>
      <c r="Y8" s="42"/>
      <c r="Z8" s="42"/>
    </row>
    <row r="9" spans="1:26" ht="23.25" customHeight="1">
      <c r="A9" s="131" t="s">
        <v>37</v>
      </c>
      <c r="B9" s="122"/>
      <c r="C9" s="43" t="e">
        <f t="shared" ref="C9:G9" si="3">SUM(C5:C8)</f>
        <v>#REF!</v>
      </c>
      <c r="D9" s="43" t="e">
        <f t="shared" si="3"/>
        <v>#REF!</v>
      </c>
      <c r="E9" s="43" t="e">
        <f t="shared" si="3"/>
        <v>#REF!</v>
      </c>
      <c r="F9" s="43" t="e">
        <f t="shared" si="3"/>
        <v>#REF!</v>
      </c>
      <c r="G9" s="43" t="e">
        <f t="shared" si="3"/>
        <v>#REF!</v>
      </c>
      <c r="H9" s="44" t="e">
        <f t="shared" si="0"/>
        <v>#REF!</v>
      </c>
      <c r="I9" s="44" t="e">
        <f t="shared" si="1"/>
        <v>#REF!</v>
      </c>
      <c r="J9" s="45" t="e">
        <f t="shared" si="2"/>
        <v>#REF!</v>
      </c>
      <c r="K9" s="42"/>
      <c r="L9" s="42"/>
      <c r="M9" s="42"/>
      <c r="N9" s="42"/>
      <c r="O9" s="42"/>
      <c r="P9" s="42"/>
      <c r="Q9" s="42"/>
      <c r="R9" s="42"/>
      <c r="S9" s="42"/>
      <c r="T9" s="42"/>
      <c r="U9" s="42"/>
      <c r="V9" s="42"/>
      <c r="W9" s="42"/>
      <c r="X9" s="42"/>
      <c r="Y9" s="42"/>
      <c r="Z9" s="42"/>
    </row>
    <row r="10" spans="1:26" ht="15.75" customHeight="1">
      <c r="A10" s="46"/>
      <c r="B10" s="46"/>
      <c r="C10" s="46"/>
      <c r="D10" s="46"/>
      <c r="E10" s="46"/>
      <c r="F10" s="46"/>
      <c r="G10" s="46"/>
      <c r="H10" s="46"/>
      <c r="I10" s="46"/>
      <c r="J10" s="46"/>
      <c r="K10" s="42"/>
      <c r="L10" s="42"/>
      <c r="M10" s="42"/>
      <c r="N10" s="42"/>
      <c r="O10" s="42"/>
      <c r="P10" s="42"/>
      <c r="Q10" s="42"/>
      <c r="R10" s="42"/>
      <c r="S10" s="42"/>
      <c r="T10" s="42"/>
      <c r="U10" s="42"/>
      <c r="V10" s="42"/>
      <c r="W10" s="42"/>
      <c r="X10" s="42"/>
      <c r="Y10" s="42"/>
      <c r="Z10" s="42"/>
    </row>
    <row r="11" spans="1:26" ht="15.75" customHeight="1">
      <c r="A11" s="46"/>
      <c r="B11" s="46"/>
      <c r="C11" s="46"/>
      <c r="D11" s="46"/>
      <c r="E11" s="46"/>
      <c r="F11" s="46"/>
      <c r="G11" s="46"/>
      <c r="H11" s="46"/>
      <c r="I11" s="46"/>
      <c r="J11" s="46"/>
      <c r="K11" s="42"/>
      <c r="L11" s="42"/>
      <c r="M11" s="42"/>
      <c r="N11" s="42"/>
      <c r="O11" s="42"/>
      <c r="P11" s="42"/>
      <c r="Q11" s="42"/>
      <c r="R11" s="42"/>
      <c r="S11" s="42"/>
      <c r="T11" s="42"/>
      <c r="U11" s="42"/>
      <c r="V11" s="42"/>
      <c r="W11" s="42"/>
      <c r="X11" s="42"/>
      <c r="Y11" s="42"/>
      <c r="Z11" s="42"/>
    </row>
    <row r="12" spans="1:26" ht="15.75" customHeight="1">
      <c r="A12" s="47"/>
      <c r="B12" s="47"/>
      <c r="C12" s="47"/>
      <c r="D12" s="47"/>
      <c r="E12" s="47"/>
      <c r="F12" s="47"/>
      <c r="G12" s="47"/>
      <c r="H12" s="47"/>
      <c r="I12" s="47"/>
      <c r="J12" s="47"/>
      <c r="K12" s="31"/>
      <c r="L12" s="31"/>
      <c r="M12" s="31"/>
      <c r="N12" s="31"/>
      <c r="O12" s="31"/>
      <c r="P12" s="31"/>
      <c r="Q12" s="31"/>
      <c r="R12" s="31"/>
      <c r="S12" s="31"/>
      <c r="T12" s="31"/>
      <c r="U12" s="31"/>
      <c r="V12" s="31"/>
      <c r="W12" s="31"/>
      <c r="X12" s="31"/>
      <c r="Y12" s="31"/>
      <c r="Z12" s="31"/>
    </row>
    <row r="13" spans="1:26" ht="15.75" customHeight="1">
      <c r="A13" s="47"/>
      <c r="B13" s="47"/>
      <c r="C13" s="47"/>
      <c r="D13" s="47"/>
      <c r="E13" s="47"/>
      <c r="F13" s="47"/>
      <c r="G13" s="47"/>
      <c r="H13" s="47"/>
      <c r="I13" s="47"/>
      <c r="J13" s="47"/>
      <c r="K13" s="31"/>
      <c r="L13" s="31"/>
      <c r="M13" s="31"/>
      <c r="N13" s="31"/>
      <c r="O13" s="31"/>
      <c r="P13" s="31"/>
      <c r="Q13" s="31"/>
      <c r="R13" s="31"/>
      <c r="S13" s="31"/>
      <c r="T13" s="31"/>
      <c r="U13" s="31"/>
      <c r="V13" s="31"/>
      <c r="W13" s="31"/>
      <c r="X13" s="31"/>
      <c r="Y13" s="31"/>
      <c r="Z13" s="31"/>
    </row>
    <row r="14" spans="1:26" ht="15.75" customHeight="1">
      <c r="A14" s="47"/>
      <c r="B14" s="47"/>
      <c r="C14" s="47"/>
      <c r="D14" s="47"/>
      <c r="E14" s="47"/>
      <c r="F14" s="47"/>
      <c r="G14" s="47"/>
      <c r="H14" s="47"/>
      <c r="I14" s="47"/>
      <c r="J14" s="47"/>
      <c r="K14" s="31"/>
      <c r="L14" s="31"/>
      <c r="M14" s="31"/>
      <c r="N14" s="31"/>
      <c r="O14" s="31"/>
      <c r="P14" s="31"/>
      <c r="Q14" s="31"/>
      <c r="R14" s="31"/>
      <c r="S14" s="31"/>
      <c r="T14" s="31"/>
      <c r="U14" s="31"/>
      <c r="V14" s="31"/>
      <c r="W14" s="31"/>
      <c r="X14" s="31"/>
      <c r="Y14" s="31"/>
      <c r="Z14" s="31"/>
    </row>
    <row r="15" spans="1:26"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ht="15.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15.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row r="213" spans="1:26" ht="15.75" customHeight="1"/>
    <row r="214" spans="1:26" ht="15.75" customHeight="1"/>
    <row r="215" spans="1:26" ht="15.75" customHeight="1"/>
    <row r="216" spans="1:26" ht="15.75" customHeight="1"/>
    <row r="217" spans="1:26" ht="15.75" customHeight="1"/>
    <row r="218" spans="1:26" ht="15.75" customHeight="1"/>
    <row r="219" spans="1:26" ht="15.75" customHeight="1"/>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J2"/>
    <mergeCell ref="A9:B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AA84F"/>
    <outlinePr summaryBelow="0" summaryRight="0"/>
  </sheetPr>
  <dimension ref="A1:AD1000"/>
  <sheetViews>
    <sheetView workbookViewId="0"/>
  </sheetViews>
  <sheetFormatPr defaultColWidth="12.5703125" defaultRowHeight="15" customHeight="1" outlineLevelRow="3"/>
  <cols>
    <col min="1" max="1" width="12.5703125" customWidth="1"/>
    <col min="2" max="3" width="32.7109375" customWidth="1"/>
    <col min="4" max="4" width="40.28515625" customWidth="1"/>
    <col min="5" max="5" width="33.28515625" customWidth="1"/>
    <col min="6" max="6" width="26.7109375" customWidth="1"/>
    <col min="7" max="7" width="39.42578125" customWidth="1"/>
  </cols>
  <sheetData>
    <row r="1" spans="1:30" ht="26.25">
      <c r="A1" s="48"/>
      <c r="B1" s="48"/>
      <c r="C1" s="139" t="s">
        <v>38</v>
      </c>
      <c r="D1" s="130"/>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40</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42</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COUNTIF($N$13:$N$186,"P")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COUNTIF($N$13:$N$186,"F")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COUNTIF($N$13:$N$186,"PE")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27</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COUNTA($G$13:$G$186)</f>
        <v>27</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12.75">
      <c r="A10" s="140" t="s">
        <v>48</v>
      </c>
      <c r="B10" s="140" t="s">
        <v>49</v>
      </c>
      <c r="C10" s="140" t="s">
        <v>50</v>
      </c>
      <c r="D10" s="140" t="s">
        <v>51</v>
      </c>
      <c r="E10" s="140" t="s">
        <v>52</v>
      </c>
      <c r="F10" s="140" t="s">
        <v>53</v>
      </c>
      <c r="G10" s="140" t="s">
        <v>54</v>
      </c>
      <c r="H10" s="140" t="s">
        <v>55</v>
      </c>
      <c r="I10" s="140" t="s">
        <v>56</v>
      </c>
      <c r="J10" s="140" t="s">
        <v>57</v>
      </c>
      <c r="K10" s="149" t="s">
        <v>58</v>
      </c>
      <c r="L10" s="121"/>
      <c r="M10" s="122"/>
      <c r="N10" s="140" t="s">
        <v>59</v>
      </c>
      <c r="O10" s="140" t="s">
        <v>60</v>
      </c>
      <c r="P10" s="140" t="s">
        <v>61</v>
      </c>
      <c r="Q10" s="48"/>
      <c r="R10" s="48"/>
      <c r="S10" s="48"/>
      <c r="T10" s="48"/>
      <c r="U10" s="48"/>
      <c r="V10" s="48"/>
      <c r="W10" s="48"/>
      <c r="X10" s="48"/>
      <c r="Y10" s="48"/>
      <c r="Z10" s="48"/>
      <c r="AA10" s="48"/>
      <c r="AB10" s="48"/>
      <c r="AC10" s="48"/>
      <c r="AD10" s="48"/>
    </row>
    <row r="11" spans="1:30" ht="12.75">
      <c r="A11" s="141"/>
      <c r="B11" s="141"/>
      <c r="C11" s="141"/>
      <c r="D11" s="141"/>
      <c r="E11" s="141"/>
      <c r="F11" s="141"/>
      <c r="G11" s="141"/>
      <c r="H11" s="141"/>
      <c r="I11" s="141"/>
      <c r="J11" s="141"/>
      <c r="K11" s="150" t="s">
        <v>62</v>
      </c>
      <c r="L11" s="136"/>
      <c r="M11" s="137"/>
      <c r="N11" s="141"/>
      <c r="O11" s="141"/>
      <c r="P11" s="141"/>
      <c r="Q11" s="48"/>
      <c r="R11" s="48"/>
      <c r="S11" s="48"/>
      <c r="T11" s="48"/>
      <c r="U11" s="48"/>
      <c r="V11" s="48"/>
      <c r="W11" s="48"/>
      <c r="X11" s="48"/>
      <c r="Y11" s="48"/>
      <c r="Z11" s="48"/>
      <c r="AA11" s="48"/>
      <c r="AB11" s="48"/>
      <c r="AC11" s="48"/>
      <c r="AD11" s="48"/>
    </row>
    <row r="12" spans="1:30" ht="15.75">
      <c r="A12" s="142"/>
      <c r="B12" s="142"/>
      <c r="C12" s="142"/>
      <c r="D12" s="142"/>
      <c r="E12" s="142"/>
      <c r="F12" s="142"/>
      <c r="G12" s="142"/>
      <c r="H12" s="142"/>
      <c r="I12" s="142"/>
      <c r="J12" s="142"/>
      <c r="K12" s="57" t="s">
        <v>63</v>
      </c>
      <c r="L12" s="57" t="s">
        <v>64</v>
      </c>
      <c r="M12" s="57" t="s">
        <v>65</v>
      </c>
      <c r="N12" s="142"/>
      <c r="O12" s="142"/>
      <c r="P12" s="142"/>
      <c r="Q12" s="48"/>
      <c r="R12" s="48"/>
      <c r="S12" s="48"/>
      <c r="T12" s="48"/>
      <c r="U12" s="48"/>
      <c r="V12" s="48"/>
      <c r="W12" s="48"/>
      <c r="X12" s="48"/>
      <c r="Y12" s="48"/>
      <c r="Z12" s="48"/>
      <c r="AA12" s="48"/>
      <c r="AB12" s="48"/>
      <c r="AC12" s="48"/>
      <c r="AD12" s="48"/>
    </row>
    <row r="13" spans="1:30" ht="48" customHeight="1">
      <c r="A13" s="58"/>
      <c r="B13" s="148" t="s">
        <v>66</v>
      </c>
      <c r="C13" s="122"/>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15.75">
      <c r="A14" s="61" t="str">
        <f t="shared" ref="A14:A43" si="0">IF(AND(G14="",G14=""),"",$D$3&amp;"_"&amp;ROW()-13-COUNTBLANK($G$14:G14))</f>
        <v/>
      </c>
      <c r="B14" s="133" t="s">
        <v>67</v>
      </c>
      <c r="C14" s="121"/>
      <c r="D14" s="121"/>
      <c r="E14" s="121"/>
      <c r="F14" s="121"/>
      <c r="G14" s="121"/>
      <c r="H14" s="121"/>
      <c r="I14" s="121"/>
      <c r="J14" s="121"/>
      <c r="K14" s="121"/>
      <c r="L14" s="121"/>
      <c r="M14" s="121"/>
      <c r="N14" s="121"/>
      <c r="O14" s="121"/>
      <c r="P14" s="122"/>
      <c r="Q14" s="48"/>
      <c r="R14" s="48"/>
      <c r="S14" s="48"/>
      <c r="T14" s="48"/>
      <c r="U14" s="48"/>
      <c r="V14" s="48"/>
      <c r="W14" s="48"/>
      <c r="X14" s="48"/>
      <c r="Y14" s="48"/>
      <c r="Z14" s="48"/>
      <c r="AA14" s="48"/>
      <c r="AB14" s="48"/>
      <c r="AC14" s="48"/>
      <c r="AD14" s="48"/>
    </row>
    <row r="15" spans="1:30" ht="15.75" outlineLevel="1">
      <c r="A15" s="61" t="str">
        <f t="shared" si="0"/>
        <v/>
      </c>
      <c r="B15" s="134" t="s">
        <v>68</v>
      </c>
      <c r="C15" s="121"/>
      <c r="D15" s="121"/>
      <c r="E15" s="121"/>
      <c r="F15" s="121"/>
      <c r="G15" s="121"/>
      <c r="H15" s="121"/>
      <c r="I15" s="121"/>
      <c r="J15" s="121"/>
      <c r="K15" s="121"/>
      <c r="L15" s="121"/>
      <c r="M15" s="121"/>
      <c r="N15" s="121"/>
      <c r="O15" s="121"/>
      <c r="P15" s="122"/>
      <c r="Q15" s="48"/>
      <c r="R15" s="48"/>
      <c r="S15" s="48"/>
      <c r="T15" s="48"/>
      <c r="U15" s="48"/>
      <c r="V15" s="48"/>
      <c r="W15" s="48"/>
      <c r="X15" s="48"/>
      <c r="Y15" s="48"/>
      <c r="Z15" s="48"/>
      <c r="AA15" s="48"/>
      <c r="AB15" s="48"/>
      <c r="AC15" s="48"/>
      <c r="AD15" s="48"/>
    </row>
    <row r="16" spans="1:30" ht="47.25" outlineLevel="2">
      <c r="A16" s="61" t="str">
        <f t="shared" si="0"/>
        <v>AU1_1</v>
      </c>
      <c r="B16" s="146" t="s">
        <v>69</v>
      </c>
      <c r="C16" s="63" t="s">
        <v>70</v>
      </c>
      <c r="D16" s="64" t="s">
        <v>71</v>
      </c>
      <c r="E16" s="63"/>
      <c r="F16" s="63" t="s">
        <v>72</v>
      </c>
      <c r="G16" s="63" t="s">
        <v>73</v>
      </c>
      <c r="H16" s="61" t="s">
        <v>74</v>
      </c>
      <c r="I16" s="61" t="s">
        <v>75</v>
      </c>
      <c r="J16" s="65"/>
      <c r="K16" s="65"/>
      <c r="L16" s="65"/>
      <c r="M16" s="66"/>
      <c r="N16" s="67" t="str">
        <f t="shared" ref="N16:N18" si="1">IF(OR(IF(M16="",IF(L16="",IF(K16="","",K16), L16),M16)="F")=TRUE,"F",
IF(OR( IF(M16="",IF(L16="",IF(K16="","",K16), L16),M16)="PE")=TRUE,"PE",
IF(AND(IF(M16="",IF(L16="",IF(K16="","",K16), L16),M16)="")=TRUE,"","P")))</f>
        <v/>
      </c>
      <c r="O16" s="68"/>
      <c r="P16" s="68"/>
      <c r="Q16" s="48"/>
      <c r="R16" s="48"/>
      <c r="S16" s="48"/>
      <c r="T16" s="48"/>
      <c r="U16" s="48"/>
      <c r="V16" s="48"/>
      <c r="W16" s="48"/>
      <c r="X16" s="48"/>
      <c r="Y16" s="48"/>
      <c r="Z16" s="48"/>
      <c r="AA16" s="48"/>
      <c r="AB16" s="48"/>
      <c r="AC16" s="48"/>
      <c r="AD16" s="48"/>
    </row>
    <row r="17" spans="1:30" ht="47.25" outlineLevel="2">
      <c r="A17" s="61" t="str">
        <f t="shared" si="0"/>
        <v>AU1_2</v>
      </c>
      <c r="B17" s="141"/>
      <c r="C17" s="63" t="s">
        <v>76</v>
      </c>
      <c r="D17" s="68" t="s">
        <v>77</v>
      </c>
      <c r="E17" s="63"/>
      <c r="F17" s="63" t="s">
        <v>78</v>
      </c>
      <c r="G17" s="63" t="s">
        <v>73</v>
      </c>
      <c r="H17" s="65" t="s">
        <v>74</v>
      </c>
      <c r="I17" s="65" t="s">
        <v>75</v>
      </c>
      <c r="J17" s="65"/>
      <c r="K17" s="65"/>
      <c r="L17" s="65"/>
      <c r="M17" s="66"/>
      <c r="N17" s="67" t="str">
        <f t="shared" si="1"/>
        <v/>
      </c>
      <c r="O17" s="68"/>
      <c r="P17" s="68"/>
      <c r="Q17" s="48"/>
      <c r="R17" s="48"/>
      <c r="S17" s="48"/>
      <c r="T17" s="48"/>
      <c r="U17" s="48"/>
      <c r="V17" s="48"/>
      <c r="W17" s="48"/>
      <c r="X17" s="48"/>
      <c r="Y17" s="48"/>
      <c r="Z17" s="48"/>
      <c r="AA17" s="48"/>
      <c r="AB17" s="48"/>
      <c r="AC17" s="48"/>
      <c r="AD17" s="48"/>
    </row>
    <row r="18" spans="1:30" ht="157.5" outlineLevel="2">
      <c r="A18" s="61" t="str">
        <f t="shared" si="0"/>
        <v>AU1_3</v>
      </c>
      <c r="B18" s="141"/>
      <c r="C18" s="69" t="s">
        <v>79</v>
      </c>
      <c r="D18" s="70" t="s">
        <v>80</v>
      </c>
      <c r="E18" s="69"/>
      <c r="F18" s="69" t="s">
        <v>81</v>
      </c>
      <c r="G18" s="69" t="s">
        <v>82</v>
      </c>
      <c r="H18" s="71" t="s">
        <v>83</v>
      </c>
      <c r="I18" s="71" t="s">
        <v>75</v>
      </c>
      <c r="J18" s="71"/>
      <c r="K18" s="72"/>
      <c r="L18" s="72"/>
      <c r="M18" s="73"/>
      <c r="N18" s="74" t="str">
        <f t="shared" si="1"/>
        <v/>
      </c>
      <c r="O18" s="70"/>
      <c r="P18" s="70"/>
      <c r="Q18" s="48"/>
      <c r="R18" s="48"/>
      <c r="S18" s="48"/>
      <c r="T18" s="48"/>
      <c r="U18" s="48"/>
      <c r="V18" s="48"/>
      <c r="W18" s="48"/>
      <c r="X18" s="48"/>
      <c r="Y18" s="48"/>
      <c r="Z18" s="48"/>
      <c r="AA18" s="48"/>
      <c r="AB18" s="48"/>
      <c r="AC18" s="48"/>
      <c r="AD18" s="48"/>
    </row>
    <row r="19" spans="1:30" ht="157.5" outlineLevel="2">
      <c r="A19" s="61" t="str">
        <f t="shared" si="0"/>
        <v>AU1_4</v>
      </c>
      <c r="B19" s="143" t="s">
        <v>84</v>
      </c>
      <c r="C19" s="63" t="s">
        <v>85</v>
      </c>
      <c r="D19" s="68" t="s">
        <v>86</v>
      </c>
      <c r="E19" s="63"/>
      <c r="F19" s="69" t="s">
        <v>87</v>
      </c>
      <c r="G19" s="69" t="s">
        <v>82</v>
      </c>
      <c r="H19" s="71" t="s">
        <v>83</v>
      </c>
      <c r="I19" s="71" t="s">
        <v>75</v>
      </c>
      <c r="J19" s="65"/>
      <c r="K19" s="65"/>
      <c r="L19" s="65"/>
      <c r="M19" s="68"/>
      <c r="N19" s="67"/>
      <c r="O19" s="68"/>
      <c r="P19" s="68"/>
      <c r="Q19" s="48"/>
      <c r="R19" s="48"/>
      <c r="S19" s="48"/>
      <c r="T19" s="48"/>
      <c r="U19" s="48"/>
      <c r="V19" s="48"/>
      <c r="W19" s="48"/>
      <c r="X19" s="48"/>
      <c r="Y19" s="48"/>
      <c r="Z19" s="48"/>
      <c r="AA19" s="48"/>
      <c r="AB19" s="48"/>
      <c r="AC19" s="48"/>
      <c r="AD19" s="48"/>
    </row>
    <row r="20" spans="1:30" ht="78.75" outlineLevel="2">
      <c r="A20" s="61" t="str">
        <f t="shared" si="0"/>
        <v>AU1_5</v>
      </c>
      <c r="B20" s="142"/>
      <c r="C20" s="63" t="s">
        <v>88</v>
      </c>
      <c r="D20" s="68" t="s">
        <v>89</v>
      </c>
      <c r="E20" s="63"/>
      <c r="F20" s="69" t="s">
        <v>90</v>
      </c>
      <c r="G20" s="63" t="s">
        <v>73</v>
      </c>
      <c r="H20" s="65" t="s">
        <v>74</v>
      </c>
      <c r="I20" s="65" t="s">
        <v>75</v>
      </c>
      <c r="J20" s="65"/>
      <c r="K20" s="65"/>
      <c r="L20" s="65"/>
      <c r="M20" s="68"/>
      <c r="N20" s="67"/>
      <c r="O20" s="68"/>
      <c r="P20" s="68"/>
      <c r="Q20" s="48"/>
      <c r="R20" s="48"/>
      <c r="S20" s="48"/>
      <c r="T20" s="48"/>
      <c r="U20" s="48"/>
      <c r="V20" s="48"/>
      <c r="W20" s="48"/>
      <c r="X20" s="48"/>
      <c r="Y20" s="48"/>
      <c r="Z20" s="48"/>
      <c r="AA20" s="48"/>
      <c r="AB20" s="48"/>
      <c r="AC20" s="48"/>
      <c r="AD20" s="48"/>
    </row>
    <row r="21" spans="1:30" ht="15.75" customHeight="1" outlineLevel="1">
      <c r="A21" s="61" t="str">
        <f t="shared" si="0"/>
        <v/>
      </c>
      <c r="B21" s="135" t="s">
        <v>91</v>
      </c>
      <c r="C21" s="136"/>
      <c r="D21" s="136"/>
      <c r="E21" s="136"/>
      <c r="F21" s="136"/>
      <c r="G21" s="136"/>
      <c r="H21" s="136"/>
      <c r="I21" s="136"/>
      <c r="J21" s="136"/>
      <c r="K21" s="136"/>
      <c r="L21" s="136"/>
      <c r="M21" s="136"/>
      <c r="N21" s="136"/>
      <c r="O21" s="136"/>
      <c r="P21" s="137"/>
      <c r="Q21" s="48"/>
      <c r="R21" s="48"/>
      <c r="S21" s="48"/>
      <c r="T21" s="48"/>
      <c r="U21" s="48"/>
      <c r="V21" s="48"/>
      <c r="W21" s="48"/>
      <c r="X21" s="48"/>
      <c r="Y21" s="48"/>
      <c r="Z21" s="48"/>
      <c r="AA21" s="48"/>
      <c r="AB21" s="48"/>
      <c r="AC21" s="48"/>
      <c r="AD21" s="48"/>
    </row>
    <row r="22" spans="1:30" ht="15.75" customHeight="1" outlineLevel="2">
      <c r="A22" s="61" t="str">
        <f t="shared" si="0"/>
        <v/>
      </c>
      <c r="B22" s="138" t="s">
        <v>92</v>
      </c>
      <c r="C22" s="121"/>
      <c r="D22" s="121"/>
      <c r="E22" s="121"/>
      <c r="F22" s="121"/>
      <c r="G22" s="121"/>
      <c r="H22" s="121"/>
      <c r="I22" s="121"/>
      <c r="J22" s="121"/>
      <c r="K22" s="121"/>
      <c r="L22" s="121"/>
      <c r="M22" s="121"/>
      <c r="N22" s="121"/>
      <c r="O22" s="121"/>
      <c r="P22" s="122"/>
      <c r="Q22" s="75"/>
      <c r="R22" s="75"/>
      <c r="S22" s="75"/>
      <c r="T22" s="75"/>
      <c r="U22" s="48"/>
      <c r="V22" s="48"/>
      <c r="W22" s="48"/>
      <c r="X22" s="48"/>
      <c r="Y22" s="48"/>
      <c r="Z22" s="48"/>
      <c r="AA22" s="48"/>
      <c r="AB22" s="48"/>
      <c r="AC22" s="48"/>
      <c r="AD22" s="48"/>
    </row>
    <row r="23" spans="1:30" ht="15.75" customHeight="1" outlineLevel="3">
      <c r="A23" s="61" t="str">
        <f t="shared" si="0"/>
        <v>AU1_6</v>
      </c>
      <c r="B23" s="144" t="s">
        <v>92</v>
      </c>
      <c r="C23" s="68" t="s">
        <v>93</v>
      </c>
      <c r="D23" s="68" t="s">
        <v>94</v>
      </c>
      <c r="E23" s="63"/>
      <c r="F23" s="63" t="s">
        <v>95</v>
      </c>
      <c r="G23" s="68" t="s">
        <v>96</v>
      </c>
      <c r="H23" s="65" t="s">
        <v>74</v>
      </c>
      <c r="I23" s="65" t="s">
        <v>75</v>
      </c>
      <c r="J23" s="65"/>
      <c r="K23" s="65"/>
      <c r="L23" s="65"/>
      <c r="M23" s="66"/>
      <c r="N23" s="67" t="str">
        <f t="shared" ref="N23:N30" si="2">IF(OR(IF(M23="",IF(L23="",IF(K23="","",K23), L23),M23)="F")=TRUE,"F",
IF(OR( IF(M23="",IF(L23="",IF(K23="","",K23), L23),M23)="PE")=TRUE,"PE",
IF(AND(IF(M23="",IF(L23="",IF(K23="","",K23), L23),M23)="")=TRUE,"","P")))</f>
        <v/>
      </c>
      <c r="O23" s="68"/>
      <c r="P23" s="68"/>
      <c r="Q23" s="75"/>
      <c r="R23" s="75"/>
      <c r="S23" s="75"/>
      <c r="T23" s="75"/>
      <c r="U23" s="48"/>
      <c r="V23" s="48"/>
      <c r="W23" s="48"/>
      <c r="X23" s="48"/>
      <c r="Y23" s="48"/>
      <c r="Z23" s="48"/>
      <c r="AA23" s="48"/>
      <c r="AB23" s="48"/>
      <c r="AC23" s="48"/>
      <c r="AD23" s="48"/>
    </row>
    <row r="24" spans="1:30" ht="15.75" customHeight="1" outlineLevel="3">
      <c r="A24" s="61" t="str">
        <f t="shared" si="0"/>
        <v>AU1_7</v>
      </c>
      <c r="B24" s="141"/>
      <c r="C24" s="68" t="s">
        <v>97</v>
      </c>
      <c r="D24" s="68" t="s">
        <v>98</v>
      </c>
      <c r="E24" s="63"/>
      <c r="F24" s="63" t="s">
        <v>99</v>
      </c>
      <c r="G24" s="68" t="s">
        <v>96</v>
      </c>
      <c r="H24" s="65" t="s">
        <v>74</v>
      </c>
      <c r="I24" s="65" t="s">
        <v>75</v>
      </c>
      <c r="J24" s="65"/>
      <c r="K24" s="65"/>
      <c r="L24" s="65"/>
      <c r="M24" s="66"/>
      <c r="N24" s="67" t="str">
        <f t="shared" si="2"/>
        <v/>
      </c>
      <c r="O24" s="68"/>
      <c r="P24" s="68"/>
      <c r="Q24" s="75"/>
      <c r="R24" s="75"/>
      <c r="S24" s="75"/>
      <c r="T24" s="75"/>
      <c r="U24" s="48"/>
      <c r="V24" s="48"/>
      <c r="W24" s="48"/>
      <c r="X24" s="48"/>
      <c r="Y24" s="48"/>
      <c r="Z24" s="48"/>
      <c r="AA24" s="48"/>
      <c r="AB24" s="48"/>
      <c r="AC24" s="48"/>
      <c r="AD24" s="48"/>
    </row>
    <row r="25" spans="1:30" ht="15.75" customHeight="1" outlineLevel="3">
      <c r="A25" s="61" t="str">
        <f t="shared" si="0"/>
        <v>AU1_8</v>
      </c>
      <c r="B25" s="141"/>
      <c r="C25" s="68" t="s">
        <v>100</v>
      </c>
      <c r="D25" s="68" t="s">
        <v>101</v>
      </c>
      <c r="E25" s="63"/>
      <c r="F25" s="63" t="s">
        <v>99</v>
      </c>
      <c r="G25" s="68" t="s">
        <v>96</v>
      </c>
      <c r="H25" s="65" t="s">
        <v>74</v>
      </c>
      <c r="I25" s="65" t="s">
        <v>75</v>
      </c>
      <c r="J25" s="65"/>
      <c r="K25" s="65"/>
      <c r="L25" s="65"/>
      <c r="M25" s="66"/>
      <c r="N25" s="67" t="str">
        <f t="shared" si="2"/>
        <v/>
      </c>
      <c r="O25" s="68"/>
      <c r="P25" s="68"/>
      <c r="Q25" s="75"/>
      <c r="R25" s="75"/>
      <c r="S25" s="75"/>
      <c r="T25" s="75"/>
      <c r="U25" s="48"/>
      <c r="V25" s="48"/>
      <c r="W25" s="48"/>
      <c r="X25" s="48"/>
      <c r="Y25" s="48"/>
      <c r="Z25" s="48"/>
      <c r="AA25" s="48"/>
      <c r="AB25" s="48"/>
      <c r="AC25" s="48"/>
      <c r="AD25" s="48"/>
    </row>
    <row r="26" spans="1:30" ht="15.75" customHeight="1" outlineLevel="3">
      <c r="A26" s="61" t="str">
        <f t="shared" si="0"/>
        <v>AU1_9</v>
      </c>
      <c r="B26" s="141"/>
      <c r="C26" s="68" t="s">
        <v>102</v>
      </c>
      <c r="D26" s="68" t="s">
        <v>103</v>
      </c>
      <c r="E26" s="63"/>
      <c r="F26" s="63" t="s">
        <v>99</v>
      </c>
      <c r="G26" s="68" t="s">
        <v>96</v>
      </c>
      <c r="H26" s="65" t="s">
        <v>74</v>
      </c>
      <c r="I26" s="65" t="s">
        <v>75</v>
      </c>
      <c r="J26" s="65"/>
      <c r="K26" s="65"/>
      <c r="L26" s="65"/>
      <c r="M26" s="66"/>
      <c r="N26" s="67" t="str">
        <f t="shared" si="2"/>
        <v/>
      </c>
      <c r="O26" s="68"/>
      <c r="P26" s="68"/>
      <c r="Q26" s="75"/>
      <c r="R26" s="75"/>
      <c r="S26" s="75"/>
      <c r="T26" s="75"/>
      <c r="U26" s="48"/>
      <c r="V26" s="48"/>
      <c r="W26" s="48"/>
      <c r="X26" s="48"/>
      <c r="Y26" s="48"/>
      <c r="Z26" s="48"/>
      <c r="AA26" s="48"/>
      <c r="AB26" s="48"/>
      <c r="AC26" s="48"/>
      <c r="AD26" s="48"/>
    </row>
    <row r="27" spans="1:30" ht="15.75" customHeight="1" outlineLevel="3">
      <c r="A27" s="61" t="str">
        <f t="shared" si="0"/>
        <v>AU1_10</v>
      </c>
      <c r="B27" s="141"/>
      <c r="C27" s="68" t="s">
        <v>104</v>
      </c>
      <c r="D27" s="68" t="s">
        <v>80</v>
      </c>
      <c r="E27" s="63"/>
      <c r="F27" s="63" t="s">
        <v>99</v>
      </c>
      <c r="G27" s="69" t="s">
        <v>82</v>
      </c>
      <c r="H27" s="65" t="s">
        <v>74</v>
      </c>
      <c r="I27" s="65" t="s">
        <v>75</v>
      </c>
      <c r="J27" s="65"/>
      <c r="K27" s="65"/>
      <c r="L27" s="65"/>
      <c r="M27" s="66"/>
      <c r="N27" s="67" t="str">
        <f t="shared" si="2"/>
        <v/>
      </c>
      <c r="O27" s="68"/>
      <c r="P27" s="68"/>
      <c r="Q27" s="75"/>
      <c r="R27" s="75"/>
      <c r="S27" s="75"/>
      <c r="T27" s="75"/>
      <c r="U27" s="48"/>
      <c r="V27" s="48"/>
      <c r="W27" s="48"/>
      <c r="X27" s="48"/>
      <c r="Y27" s="48"/>
      <c r="Z27" s="48"/>
      <c r="AA27" s="48"/>
      <c r="AB27" s="48"/>
      <c r="AC27" s="48"/>
      <c r="AD27" s="48"/>
    </row>
    <row r="28" spans="1:30" ht="15.75" customHeight="1" outlineLevel="3">
      <c r="A28" s="61" t="str">
        <f t="shared" si="0"/>
        <v>AU1_11</v>
      </c>
      <c r="B28" s="141"/>
      <c r="C28" s="68" t="s">
        <v>105</v>
      </c>
      <c r="D28" s="68" t="s">
        <v>106</v>
      </c>
      <c r="E28" s="63"/>
      <c r="F28" s="63" t="s">
        <v>99</v>
      </c>
      <c r="G28" s="68" t="s">
        <v>107</v>
      </c>
      <c r="H28" s="65" t="s">
        <v>74</v>
      </c>
      <c r="I28" s="65" t="s">
        <v>75</v>
      </c>
      <c r="J28" s="65"/>
      <c r="K28" s="65"/>
      <c r="L28" s="65"/>
      <c r="M28" s="66"/>
      <c r="N28" s="67" t="str">
        <f t="shared" si="2"/>
        <v/>
      </c>
      <c r="O28" s="68"/>
      <c r="P28" s="68"/>
      <c r="Q28" s="75"/>
      <c r="R28" s="75"/>
      <c r="S28" s="75"/>
      <c r="T28" s="75"/>
      <c r="U28" s="48"/>
      <c r="V28" s="48"/>
      <c r="W28" s="48"/>
      <c r="X28" s="48"/>
      <c r="Y28" s="48"/>
      <c r="Z28" s="48"/>
      <c r="AA28" s="48"/>
      <c r="AB28" s="48"/>
      <c r="AC28" s="48"/>
      <c r="AD28" s="48"/>
    </row>
    <row r="29" spans="1:30" ht="15.75" customHeight="1" outlineLevel="3">
      <c r="A29" s="61" t="str">
        <f t="shared" si="0"/>
        <v>AU1_12</v>
      </c>
      <c r="B29" s="141"/>
      <c r="C29" s="68" t="s">
        <v>108</v>
      </c>
      <c r="D29" s="68" t="s">
        <v>109</v>
      </c>
      <c r="E29" s="63"/>
      <c r="F29" s="63" t="s">
        <v>99</v>
      </c>
      <c r="G29" s="68" t="s">
        <v>110</v>
      </c>
      <c r="H29" s="65" t="s">
        <v>74</v>
      </c>
      <c r="I29" s="65" t="s">
        <v>75</v>
      </c>
      <c r="J29" s="65"/>
      <c r="K29" s="65"/>
      <c r="L29" s="65"/>
      <c r="M29" s="66"/>
      <c r="N29" s="67" t="str">
        <f t="shared" si="2"/>
        <v/>
      </c>
      <c r="O29" s="68"/>
      <c r="P29" s="68"/>
      <c r="Q29" s="75"/>
      <c r="R29" s="75"/>
      <c r="S29" s="75"/>
      <c r="T29" s="75"/>
      <c r="U29" s="48"/>
      <c r="V29" s="48"/>
      <c r="W29" s="48"/>
      <c r="X29" s="48"/>
      <c r="Y29" s="48"/>
      <c r="Z29" s="48"/>
      <c r="AA29" s="48"/>
      <c r="AB29" s="48"/>
      <c r="AC29" s="48"/>
      <c r="AD29" s="48"/>
    </row>
    <row r="30" spans="1:30" ht="15.75" customHeight="1" outlineLevel="3">
      <c r="A30" s="61" t="str">
        <f t="shared" si="0"/>
        <v>AU1_13</v>
      </c>
      <c r="B30" s="145"/>
      <c r="C30" s="68" t="s">
        <v>111</v>
      </c>
      <c r="D30" s="68" t="s">
        <v>112</v>
      </c>
      <c r="E30" s="63"/>
      <c r="F30" s="63" t="s">
        <v>99</v>
      </c>
      <c r="G30" s="68" t="s">
        <v>110</v>
      </c>
      <c r="H30" s="65" t="s">
        <v>74</v>
      </c>
      <c r="I30" s="65" t="s">
        <v>75</v>
      </c>
      <c r="J30" s="65"/>
      <c r="K30" s="65"/>
      <c r="L30" s="65"/>
      <c r="M30" s="66"/>
      <c r="N30" s="67" t="str">
        <f t="shared" si="2"/>
        <v/>
      </c>
      <c r="O30" s="68"/>
      <c r="P30" s="68"/>
      <c r="Q30" s="75"/>
      <c r="R30" s="75"/>
      <c r="S30" s="75"/>
      <c r="T30" s="75"/>
      <c r="U30" s="48"/>
      <c r="V30" s="48"/>
      <c r="W30" s="48"/>
      <c r="X30" s="48"/>
      <c r="Y30" s="48"/>
      <c r="Z30" s="48"/>
      <c r="AA30" s="48"/>
      <c r="AB30" s="48"/>
      <c r="AC30" s="48"/>
      <c r="AD30" s="48"/>
    </row>
    <row r="31" spans="1:30" ht="15.75" customHeight="1" outlineLevel="2">
      <c r="A31" s="61" t="str">
        <f t="shared" si="0"/>
        <v/>
      </c>
      <c r="B31" s="138" t="s">
        <v>113</v>
      </c>
      <c r="C31" s="121"/>
      <c r="D31" s="121"/>
      <c r="E31" s="121"/>
      <c r="F31" s="121"/>
      <c r="G31" s="121"/>
      <c r="H31" s="121"/>
      <c r="I31" s="121"/>
      <c r="J31" s="121"/>
      <c r="K31" s="121"/>
      <c r="L31" s="121"/>
      <c r="M31" s="121"/>
      <c r="N31" s="121"/>
      <c r="O31" s="121"/>
      <c r="P31" s="122"/>
      <c r="Q31" s="75"/>
      <c r="R31" s="75"/>
      <c r="S31" s="75"/>
      <c r="T31" s="75"/>
      <c r="U31" s="48"/>
      <c r="V31" s="48"/>
      <c r="W31" s="48"/>
      <c r="X31" s="48"/>
      <c r="Y31" s="48"/>
      <c r="Z31" s="48"/>
      <c r="AA31" s="48"/>
      <c r="AB31" s="48"/>
      <c r="AC31" s="48"/>
      <c r="AD31" s="48"/>
    </row>
    <row r="32" spans="1:30" ht="15.75" customHeight="1" outlineLevel="3">
      <c r="A32" s="61" t="str">
        <f t="shared" si="0"/>
        <v>AU1_14</v>
      </c>
      <c r="B32" s="146" t="s">
        <v>113</v>
      </c>
      <c r="C32" s="68" t="s">
        <v>114</v>
      </c>
      <c r="D32" s="68" t="s">
        <v>115</v>
      </c>
      <c r="E32" s="63"/>
      <c r="F32" s="63" t="s">
        <v>116</v>
      </c>
      <c r="G32" s="68" t="s">
        <v>96</v>
      </c>
      <c r="H32" s="65" t="s">
        <v>74</v>
      </c>
      <c r="I32" s="65" t="s">
        <v>75</v>
      </c>
      <c r="J32" s="65"/>
      <c r="K32" s="65"/>
      <c r="L32" s="65"/>
      <c r="M32" s="66"/>
      <c r="N32" s="67" t="str">
        <f t="shared" ref="N32:N39" si="3">IF(OR(IF(M32="",IF(L32="",IF(K32="","",K32), L32),M32)="F")=TRUE,"F",
IF(OR( IF(M32="",IF(L32="",IF(K32="","",K32), L32),M32)="PE")=TRUE,"PE",
IF(AND(IF(M32="",IF(L32="",IF(K32="","",K32), L32),M32)="")=TRUE,"","P")))</f>
        <v/>
      </c>
      <c r="O32" s="68"/>
      <c r="P32" s="68"/>
      <c r="Q32" s="48"/>
      <c r="R32" s="48"/>
      <c r="S32" s="48"/>
      <c r="T32" s="48"/>
      <c r="U32" s="48"/>
      <c r="V32" s="48"/>
      <c r="W32" s="48"/>
      <c r="X32" s="48"/>
      <c r="Y32" s="48"/>
      <c r="Z32" s="48"/>
      <c r="AA32" s="48"/>
      <c r="AB32" s="48"/>
      <c r="AC32" s="48"/>
      <c r="AD32" s="48"/>
    </row>
    <row r="33" spans="1:30" ht="15.75" customHeight="1" outlineLevel="3">
      <c r="A33" s="61" t="str">
        <f t="shared" si="0"/>
        <v>AU1_15</v>
      </c>
      <c r="B33" s="141"/>
      <c r="C33" s="68" t="s">
        <v>117</v>
      </c>
      <c r="D33" s="68" t="s">
        <v>118</v>
      </c>
      <c r="E33" s="63"/>
      <c r="F33" s="63" t="s">
        <v>116</v>
      </c>
      <c r="G33" s="68" t="s">
        <v>96</v>
      </c>
      <c r="H33" s="65" t="s">
        <v>74</v>
      </c>
      <c r="I33" s="65" t="s">
        <v>75</v>
      </c>
      <c r="J33" s="65"/>
      <c r="K33" s="65"/>
      <c r="L33" s="65"/>
      <c r="M33" s="66"/>
      <c r="N33" s="67" t="str">
        <f t="shared" si="3"/>
        <v/>
      </c>
      <c r="O33" s="68"/>
      <c r="P33" s="68"/>
      <c r="Q33" s="48"/>
      <c r="R33" s="48"/>
      <c r="S33" s="48"/>
      <c r="T33" s="48"/>
      <c r="U33" s="48"/>
      <c r="V33" s="48"/>
      <c r="W33" s="48"/>
      <c r="X33" s="48"/>
      <c r="Y33" s="48"/>
      <c r="Z33" s="48"/>
      <c r="AA33" s="48"/>
      <c r="AB33" s="48"/>
      <c r="AC33" s="48"/>
      <c r="AD33" s="48"/>
    </row>
    <row r="34" spans="1:30" ht="15.75" customHeight="1" outlineLevel="3">
      <c r="A34" s="61" t="str">
        <f t="shared" si="0"/>
        <v>AU1_16</v>
      </c>
      <c r="B34" s="141"/>
      <c r="C34" s="68" t="s">
        <v>119</v>
      </c>
      <c r="D34" s="68" t="s">
        <v>120</v>
      </c>
      <c r="E34" s="63"/>
      <c r="F34" s="63" t="s">
        <v>116</v>
      </c>
      <c r="G34" s="68" t="s">
        <v>96</v>
      </c>
      <c r="H34" s="65" t="s">
        <v>74</v>
      </c>
      <c r="I34" s="65" t="s">
        <v>75</v>
      </c>
      <c r="J34" s="65"/>
      <c r="K34" s="65"/>
      <c r="L34" s="65"/>
      <c r="M34" s="66"/>
      <c r="N34" s="67" t="str">
        <f t="shared" si="3"/>
        <v/>
      </c>
      <c r="O34" s="68"/>
      <c r="P34" s="68"/>
      <c r="Q34" s="48"/>
      <c r="R34" s="48"/>
      <c r="S34" s="48"/>
      <c r="T34" s="48"/>
      <c r="U34" s="48"/>
      <c r="V34" s="48"/>
      <c r="W34" s="48"/>
      <c r="X34" s="48"/>
      <c r="Y34" s="48"/>
      <c r="Z34" s="48"/>
      <c r="AA34" s="48"/>
      <c r="AB34" s="48"/>
      <c r="AC34" s="48"/>
      <c r="AD34" s="48"/>
    </row>
    <row r="35" spans="1:30" ht="15.75" customHeight="1" outlineLevel="3">
      <c r="A35" s="61" t="str">
        <f t="shared" si="0"/>
        <v>AU1_17</v>
      </c>
      <c r="B35" s="141"/>
      <c r="C35" s="68" t="s">
        <v>121</v>
      </c>
      <c r="D35" s="68" t="s">
        <v>122</v>
      </c>
      <c r="E35" s="63"/>
      <c r="F35" s="63" t="s">
        <v>116</v>
      </c>
      <c r="G35" s="68" t="s">
        <v>110</v>
      </c>
      <c r="H35" s="65" t="s">
        <v>74</v>
      </c>
      <c r="I35" s="65" t="s">
        <v>75</v>
      </c>
      <c r="J35" s="65"/>
      <c r="K35" s="65"/>
      <c r="L35" s="65"/>
      <c r="M35" s="66"/>
      <c r="N35" s="67" t="str">
        <f t="shared" si="3"/>
        <v/>
      </c>
      <c r="O35" s="68"/>
      <c r="P35" s="68"/>
      <c r="Q35" s="48"/>
      <c r="R35" s="48"/>
      <c r="S35" s="48"/>
      <c r="T35" s="48"/>
      <c r="U35" s="48"/>
      <c r="V35" s="48"/>
      <c r="W35" s="48"/>
      <c r="X35" s="48"/>
      <c r="Y35" s="48"/>
      <c r="Z35" s="48"/>
      <c r="AA35" s="48"/>
      <c r="AB35" s="48"/>
      <c r="AC35" s="48"/>
      <c r="AD35" s="48"/>
    </row>
    <row r="36" spans="1:30" ht="15.75" customHeight="1" outlineLevel="3">
      <c r="A36" s="61" t="str">
        <f t="shared" si="0"/>
        <v>AU1_18</v>
      </c>
      <c r="B36" s="141"/>
      <c r="C36" s="68" t="s">
        <v>123</v>
      </c>
      <c r="D36" s="68" t="s">
        <v>80</v>
      </c>
      <c r="E36" s="63"/>
      <c r="F36" s="63" t="s">
        <v>116</v>
      </c>
      <c r="G36" s="68" t="s">
        <v>82</v>
      </c>
      <c r="H36" s="65" t="s">
        <v>74</v>
      </c>
      <c r="I36" s="65" t="s">
        <v>75</v>
      </c>
      <c r="J36" s="65"/>
      <c r="K36" s="65"/>
      <c r="L36" s="65"/>
      <c r="M36" s="66"/>
      <c r="N36" s="67" t="str">
        <f t="shared" si="3"/>
        <v/>
      </c>
      <c r="O36" s="68"/>
      <c r="P36" s="68"/>
      <c r="Q36" s="48"/>
      <c r="R36" s="48"/>
      <c r="S36" s="48"/>
      <c r="T36" s="48"/>
      <c r="U36" s="48"/>
      <c r="V36" s="48"/>
      <c r="W36" s="48"/>
      <c r="X36" s="48"/>
      <c r="Y36" s="48"/>
      <c r="Z36" s="48"/>
      <c r="AA36" s="48"/>
      <c r="AB36" s="48"/>
      <c r="AC36" s="48"/>
      <c r="AD36" s="48"/>
    </row>
    <row r="37" spans="1:30" ht="15.75" customHeight="1" outlineLevel="3">
      <c r="A37" s="61" t="str">
        <f t="shared" si="0"/>
        <v>AU1_19</v>
      </c>
      <c r="B37" s="141"/>
      <c r="C37" s="68" t="s">
        <v>124</v>
      </c>
      <c r="D37" s="68" t="s">
        <v>125</v>
      </c>
      <c r="E37" s="63"/>
      <c r="F37" s="63" t="s">
        <v>116</v>
      </c>
      <c r="G37" s="68" t="s">
        <v>110</v>
      </c>
      <c r="H37" s="65" t="s">
        <v>74</v>
      </c>
      <c r="I37" s="65" t="s">
        <v>75</v>
      </c>
      <c r="J37" s="65"/>
      <c r="K37" s="65"/>
      <c r="L37" s="65"/>
      <c r="M37" s="66"/>
      <c r="N37" s="67" t="str">
        <f t="shared" si="3"/>
        <v/>
      </c>
      <c r="O37" s="68"/>
      <c r="P37" s="68"/>
      <c r="Q37" s="48"/>
      <c r="R37" s="48"/>
      <c r="S37" s="48"/>
      <c r="T37" s="48"/>
      <c r="U37" s="48"/>
      <c r="V37" s="48"/>
      <c r="W37" s="48"/>
      <c r="X37" s="48"/>
      <c r="Y37" s="48"/>
      <c r="Z37" s="48"/>
      <c r="AA37" s="48"/>
      <c r="AB37" s="48"/>
      <c r="AC37" s="48"/>
      <c r="AD37" s="48"/>
    </row>
    <row r="38" spans="1:30" ht="15.75" customHeight="1" outlineLevel="3">
      <c r="A38" s="61" t="str">
        <f t="shared" si="0"/>
        <v>AU1_20</v>
      </c>
      <c r="B38" s="141"/>
      <c r="C38" s="68" t="s">
        <v>126</v>
      </c>
      <c r="D38" s="68" t="s">
        <v>127</v>
      </c>
      <c r="E38" s="63"/>
      <c r="F38" s="63" t="s">
        <v>116</v>
      </c>
      <c r="G38" s="68" t="s">
        <v>110</v>
      </c>
      <c r="H38" s="65" t="s">
        <v>74</v>
      </c>
      <c r="I38" s="65" t="s">
        <v>75</v>
      </c>
      <c r="J38" s="65"/>
      <c r="K38" s="65"/>
      <c r="L38" s="65"/>
      <c r="M38" s="66"/>
      <c r="N38" s="67" t="str">
        <f t="shared" si="3"/>
        <v/>
      </c>
      <c r="O38" s="68"/>
      <c r="P38" s="68"/>
      <c r="Q38" s="48"/>
      <c r="R38" s="48"/>
      <c r="S38" s="48"/>
      <c r="T38" s="48"/>
      <c r="U38" s="48"/>
      <c r="V38" s="48"/>
      <c r="W38" s="48"/>
      <c r="X38" s="48"/>
      <c r="Y38" s="48"/>
      <c r="Z38" s="48"/>
      <c r="AA38" s="48"/>
      <c r="AB38" s="48"/>
      <c r="AC38" s="48"/>
      <c r="AD38" s="48"/>
    </row>
    <row r="39" spans="1:30" ht="15.75" customHeight="1" outlineLevel="3">
      <c r="A39" s="61" t="str">
        <f t="shared" si="0"/>
        <v>AU1_21</v>
      </c>
      <c r="B39" s="142"/>
      <c r="C39" s="68" t="s">
        <v>128</v>
      </c>
      <c r="D39" s="68" t="s">
        <v>129</v>
      </c>
      <c r="E39" s="63"/>
      <c r="F39" s="63" t="s">
        <v>116</v>
      </c>
      <c r="G39" s="68" t="s">
        <v>110</v>
      </c>
      <c r="H39" s="65" t="s">
        <v>74</v>
      </c>
      <c r="I39" s="65" t="s">
        <v>75</v>
      </c>
      <c r="J39" s="65"/>
      <c r="K39" s="65"/>
      <c r="L39" s="65"/>
      <c r="M39" s="66"/>
      <c r="N39" s="67" t="str">
        <f t="shared" si="3"/>
        <v/>
      </c>
      <c r="O39" s="68"/>
      <c r="P39" s="68"/>
      <c r="Q39" s="48"/>
      <c r="R39" s="48"/>
      <c r="S39" s="48"/>
      <c r="T39" s="48"/>
      <c r="U39" s="48"/>
      <c r="V39" s="48"/>
      <c r="W39" s="48"/>
      <c r="X39" s="48"/>
      <c r="Y39" s="48"/>
      <c r="Z39" s="48"/>
      <c r="AA39" s="48"/>
      <c r="AB39" s="48"/>
      <c r="AC39" s="48"/>
      <c r="AD39" s="48"/>
    </row>
    <row r="40" spans="1:30" ht="15.75" customHeight="1">
      <c r="A40" s="61" t="str">
        <f t="shared" si="0"/>
        <v/>
      </c>
      <c r="B40" s="133" t="s">
        <v>130</v>
      </c>
      <c r="C40" s="121"/>
      <c r="D40" s="121"/>
      <c r="E40" s="121"/>
      <c r="F40" s="121"/>
      <c r="G40" s="121"/>
      <c r="H40" s="121"/>
      <c r="I40" s="121"/>
      <c r="J40" s="121"/>
      <c r="K40" s="121"/>
      <c r="L40" s="121"/>
      <c r="M40" s="121"/>
      <c r="N40" s="121"/>
      <c r="O40" s="121"/>
      <c r="P40" s="122"/>
      <c r="Q40" s="48"/>
      <c r="R40" s="48"/>
      <c r="S40" s="48"/>
      <c r="T40" s="48"/>
      <c r="U40" s="48"/>
      <c r="V40" s="48"/>
      <c r="W40" s="48"/>
      <c r="X40" s="48"/>
      <c r="Y40" s="48"/>
      <c r="Z40" s="48"/>
      <c r="AA40" s="48"/>
      <c r="AB40" s="48"/>
      <c r="AC40" s="48"/>
      <c r="AD40" s="48"/>
    </row>
    <row r="41" spans="1:30" ht="15.75" customHeight="1" outlineLevel="1">
      <c r="A41" s="76" t="str">
        <f t="shared" si="0"/>
        <v>AU1_22</v>
      </c>
      <c r="B41" s="63" t="s">
        <v>131</v>
      </c>
      <c r="C41" s="77" t="s">
        <v>132</v>
      </c>
      <c r="D41" s="68" t="s">
        <v>80</v>
      </c>
      <c r="E41" s="63"/>
      <c r="F41" s="68" t="s">
        <v>133</v>
      </c>
      <c r="G41" s="68" t="s">
        <v>82</v>
      </c>
      <c r="H41" s="65" t="s">
        <v>83</v>
      </c>
      <c r="I41" s="65" t="s">
        <v>75</v>
      </c>
      <c r="J41" s="65"/>
      <c r="K41" s="65"/>
      <c r="L41" s="65"/>
      <c r="M41" s="66"/>
      <c r="N41" s="67" t="str">
        <f t="shared" ref="N41:N46" si="4">IF(OR(IF(M41="",IF(L41="",IF(K41="","",K41), L41),M41)="F")=TRUE,"F",
IF(OR( IF(M41="",IF(L41="",IF(K41="","",K41), L41),M41)="PE")=TRUE,"PE",
IF(AND(IF(M41="",IF(L41="",IF(K41="","",K41), L41),M41)="")=TRUE,"","P")))</f>
        <v/>
      </c>
      <c r="O41" s="68"/>
      <c r="P41" s="68"/>
      <c r="Q41" s="48"/>
      <c r="R41" s="48"/>
      <c r="S41" s="48"/>
      <c r="T41" s="48"/>
      <c r="U41" s="48"/>
      <c r="V41" s="48"/>
      <c r="W41" s="48"/>
      <c r="X41" s="48"/>
      <c r="Y41" s="48"/>
      <c r="Z41" s="48"/>
      <c r="AA41" s="48"/>
      <c r="AB41" s="48"/>
      <c r="AC41" s="48"/>
      <c r="AD41" s="48"/>
    </row>
    <row r="42" spans="1:30" ht="15.75" customHeight="1" outlineLevel="1">
      <c r="A42" s="76" t="str">
        <f t="shared" si="0"/>
        <v>AU1_23</v>
      </c>
      <c r="B42" s="147" t="s">
        <v>134</v>
      </c>
      <c r="C42" s="77" t="s">
        <v>135</v>
      </c>
      <c r="D42" s="68" t="s">
        <v>136</v>
      </c>
      <c r="E42" s="63"/>
      <c r="F42" s="68" t="s">
        <v>137</v>
      </c>
      <c r="G42" s="68" t="s">
        <v>110</v>
      </c>
      <c r="H42" s="65" t="s">
        <v>83</v>
      </c>
      <c r="I42" s="65" t="s">
        <v>75</v>
      </c>
      <c r="J42" s="65"/>
      <c r="K42" s="65"/>
      <c r="L42" s="65"/>
      <c r="M42" s="66"/>
      <c r="N42" s="67" t="str">
        <f t="shared" si="4"/>
        <v/>
      </c>
      <c r="O42" s="68"/>
      <c r="P42" s="68"/>
      <c r="Q42" s="48"/>
      <c r="R42" s="48"/>
      <c r="S42" s="48"/>
      <c r="T42" s="48"/>
      <c r="U42" s="48"/>
      <c r="V42" s="48"/>
      <c r="W42" s="48"/>
      <c r="X42" s="48"/>
      <c r="Y42" s="48"/>
      <c r="Z42" s="48"/>
      <c r="AA42" s="48"/>
      <c r="AB42" s="48"/>
      <c r="AC42" s="48"/>
      <c r="AD42" s="48"/>
    </row>
    <row r="43" spans="1:30" ht="15.75" customHeight="1" outlineLevel="1">
      <c r="A43" s="76" t="str">
        <f t="shared" si="0"/>
        <v>AU1_24</v>
      </c>
      <c r="B43" s="141"/>
      <c r="C43" s="77" t="s">
        <v>138</v>
      </c>
      <c r="D43" s="68" t="s">
        <v>139</v>
      </c>
      <c r="E43" s="63"/>
      <c r="F43" s="68" t="s">
        <v>137</v>
      </c>
      <c r="G43" s="68" t="s">
        <v>110</v>
      </c>
      <c r="H43" s="65" t="s">
        <v>83</v>
      </c>
      <c r="I43" s="65" t="s">
        <v>75</v>
      </c>
      <c r="J43" s="65"/>
      <c r="K43" s="65"/>
      <c r="L43" s="65"/>
      <c r="M43" s="66"/>
      <c r="N43" s="67" t="str">
        <f t="shared" si="4"/>
        <v/>
      </c>
      <c r="O43" s="68"/>
      <c r="P43" s="68"/>
      <c r="Q43" s="48"/>
      <c r="R43" s="48"/>
      <c r="S43" s="48"/>
      <c r="T43" s="48"/>
      <c r="U43" s="48"/>
      <c r="V43" s="48"/>
      <c r="W43" s="48"/>
      <c r="X43" s="48"/>
      <c r="Y43" s="48"/>
      <c r="Z43" s="48"/>
      <c r="AA43" s="48"/>
      <c r="AB43" s="48"/>
      <c r="AC43" s="48"/>
      <c r="AD43" s="48"/>
    </row>
    <row r="44" spans="1:30" ht="15.75" customHeight="1" outlineLevel="1">
      <c r="A44" s="61" t="str">
        <f>IF(AND(G44="",G44=""),"",$D$3&amp;"_"&amp;ROW()-13-COUNTBLANK($G$14:G46))</f>
        <v>AU1_25</v>
      </c>
      <c r="B44" s="142"/>
      <c r="C44" s="68" t="s">
        <v>140</v>
      </c>
      <c r="D44" s="68" t="s">
        <v>141</v>
      </c>
      <c r="E44" s="63"/>
      <c r="F44" s="68" t="s">
        <v>137</v>
      </c>
      <c r="G44" s="68" t="s">
        <v>142</v>
      </c>
      <c r="H44" s="65" t="s">
        <v>74</v>
      </c>
      <c r="I44" s="65" t="s">
        <v>75</v>
      </c>
      <c r="J44" s="65"/>
      <c r="K44" s="65"/>
      <c r="L44" s="65"/>
      <c r="M44" s="66"/>
      <c r="N44" s="67" t="str">
        <f t="shared" si="4"/>
        <v/>
      </c>
      <c r="O44" s="68"/>
      <c r="P44" s="68"/>
      <c r="Q44" s="48"/>
      <c r="R44" s="48"/>
      <c r="S44" s="48"/>
      <c r="T44" s="48"/>
      <c r="U44" s="48"/>
      <c r="V44" s="48"/>
      <c r="W44" s="48"/>
      <c r="X44" s="48"/>
      <c r="Y44" s="48"/>
      <c r="Z44" s="48"/>
      <c r="AA44" s="48"/>
      <c r="AB44" s="48"/>
      <c r="AC44" s="48"/>
      <c r="AD44" s="48"/>
    </row>
    <row r="45" spans="1:30" ht="15.75" customHeight="1" outlineLevel="1">
      <c r="A45" s="61" t="str">
        <f t="shared" ref="A45:A50" si="5">IF(AND(G45="",G45=""),"",$D$3&amp;"_"&amp;ROW()-13-COUNTBLANK($G$14:G45))</f>
        <v>AU1_26</v>
      </c>
      <c r="B45" s="147" t="s">
        <v>143</v>
      </c>
      <c r="C45" s="68" t="s">
        <v>144</v>
      </c>
      <c r="D45" s="68" t="s">
        <v>145</v>
      </c>
      <c r="E45" s="63"/>
      <c r="F45" s="68" t="s">
        <v>146</v>
      </c>
      <c r="G45" s="68" t="s">
        <v>147</v>
      </c>
      <c r="H45" s="65" t="s">
        <v>83</v>
      </c>
      <c r="I45" s="65" t="s">
        <v>75</v>
      </c>
      <c r="J45" s="65"/>
      <c r="K45" s="65"/>
      <c r="L45" s="65"/>
      <c r="M45" s="66"/>
      <c r="N45" s="67" t="str">
        <f t="shared" si="4"/>
        <v/>
      </c>
      <c r="O45" s="68"/>
      <c r="P45" s="68"/>
      <c r="Q45" s="48"/>
      <c r="R45" s="48"/>
      <c r="S45" s="48"/>
      <c r="T45" s="48"/>
      <c r="U45" s="48"/>
      <c r="V45" s="48"/>
      <c r="W45" s="48"/>
      <c r="X45" s="48"/>
      <c r="Y45" s="48"/>
      <c r="Z45" s="48"/>
      <c r="AA45" s="48"/>
      <c r="AB45" s="48"/>
      <c r="AC45" s="48"/>
      <c r="AD45" s="48"/>
    </row>
    <row r="46" spans="1:30" ht="15.75" customHeight="1" outlineLevel="1">
      <c r="A46" s="61" t="str">
        <f t="shared" si="5"/>
        <v>AU1_27</v>
      </c>
      <c r="B46" s="142"/>
      <c r="C46" s="68" t="s">
        <v>148</v>
      </c>
      <c r="D46" s="68" t="s">
        <v>149</v>
      </c>
      <c r="E46" s="63"/>
      <c r="F46" s="68" t="s">
        <v>150</v>
      </c>
      <c r="G46" s="68" t="s">
        <v>151</v>
      </c>
      <c r="H46" s="65" t="s">
        <v>83</v>
      </c>
      <c r="I46" s="65" t="s">
        <v>75</v>
      </c>
      <c r="J46" s="65"/>
      <c r="K46" s="65"/>
      <c r="L46" s="65"/>
      <c r="M46" s="66"/>
      <c r="N46" s="67" t="str">
        <f t="shared" si="4"/>
        <v/>
      </c>
      <c r="O46" s="68"/>
      <c r="P46" s="68"/>
      <c r="Q46" s="48"/>
      <c r="R46" s="48"/>
      <c r="S46" s="48"/>
      <c r="T46" s="48"/>
      <c r="U46" s="48"/>
      <c r="V46" s="48"/>
      <c r="W46" s="48"/>
      <c r="X46" s="48"/>
      <c r="Y46" s="48"/>
      <c r="Z46" s="48"/>
      <c r="AA46" s="48"/>
      <c r="AB46" s="48"/>
      <c r="AC46" s="48"/>
      <c r="AD46" s="48"/>
    </row>
    <row r="47" spans="1:30" ht="15.75" customHeight="1">
      <c r="A47" s="61" t="str">
        <f t="shared" si="5"/>
        <v/>
      </c>
      <c r="B47" s="133" t="s">
        <v>152</v>
      </c>
      <c r="C47" s="121"/>
      <c r="D47" s="121"/>
      <c r="E47" s="121"/>
      <c r="F47" s="121"/>
      <c r="G47" s="121"/>
      <c r="H47" s="121"/>
      <c r="I47" s="121"/>
      <c r="J47" s="121"/>
      <c r="K47" s="121"/>
      <c r="L47" s="121"/>
      <c r="M47" s="121"/>
      <c r="N47" s="121"/>
      <c r="O47" s="121"/>
      <c r="P47" s="122"/>
      <c r="Q47" s="48"/>
      <c r="R47" s="48"/>
      <c r="S47" s="48"/>
      <c r="T47" s="48"/>
      <c r="U47" s="48"/>
      <c r="V47" s="48"/>
      <c r="W47" s="48"/>
      <c r="X47" s="48"/>
      <c r="Y47" s="48"/>
      <c r="Z47" s="48"/>
      <c r="AA47" s="48"/>
      <c r="AB47" s="48"/>
      <c r="AC47" s="48"/>
      <c r="AD47" s="48"/>
    </row>
    <row r="48" spans="1:30" ht="15.75" customHeight="1" outlineLevel="1">
      <c r="A48" s="61" t="str">
        <f t="shared" si="5"/>
        <v/>
      </c>
      <c r="B48" s="68" t="s">
        <v>153</v>
      </c>
      <c r="C48" s="68"/>
      <c r="D48" s="68"/>
      <c r="E48" s="63"/>
      <c r="F48" s="63"/>
      <c r="G48" s="63"/>
      <c r="H48" s="63"/>
      <c r="I48" s="63"/>
      <c r="J48" s="63"/>
      <c r="K48" s="65"/>
      <c r="L48" s="65"/>
      <c r="M48" s="66"/>
      <c r="N48" s="67" t="str">
        <f>IF(OR(IF(M48="",IF(L48="",IF(K48="","",K48), L48),M48)="F")=TRUE,"F",
IF(OR( IF(M48="",IF(L48="",IF(K48="","",K48), L48),M48)="PE")=TRUE,"PE",
IF(AND(IF(M48="",IF(L48="",IF(K48="","",K48), L48),M48)="")=TRUE,"","P")))</f>
        <v/>
      </c>
      <c r="O48" s="63"/>
      <c r="P48" s="63"/>
      <c r="Q48" s="48"/>
      <c r="R48" s="48"/>
      <c r="S48" s="48"/>
      <c r="T48" s="48"/>
      <c r="U48" s="48"/>
      <c r="V48" s="48"/>
      <c r="W48" s="48"/>
      <c r="X48" s="48"/>
      <c r="Y48" s="48"/>
      <c r="Z48" s="48"/>
      <c r="AA48" s="48"/>
      <c r="AB48" s="48"/>
      <c r="AC48" s="48"/>
      <c r="AD48" s="48"/>
    </row>
    <row r="49" spans="1:30" ht="15.75" customHeight="1">
      <c r="A49" s="61" t="str">
        <f t="shared" si="5"/>
        <v/>
      </c>
      <c r="B49" s="133" t="s">
        <v>154</v>
      </c>
      <c r="C49" s="121"/>
      <c r="D49" s="121"/>
      <c r="E49" s="121"/>
      <c r="F49" s="121"/>
      <c r="G49" s="121"/>
      <c r="H49" s="121"/>
      <c r="I49" s="121"/>
      <c r="J49" s="121"/>
      <c r="K49" s="121"/>
      <c r="L49" s="121"/>
      <c r="M49" s="121"/>
      <c r="N49" s="121"/>
      <c r="O49" s="121"/>
      <c r="P49" s="122"/>
      <c r="Q49" s="48"/>
      <c r="R49" s="48"/>
      <c r="S49" s="48"/>
      <c r="T49" s="48"/>
      <c r="U49" s="48"/>
      <c r="V49" s="48"/>
      <c r="W49" s="48"/>
      <c r="X49" s="48"/>
      <c r="Y49" s="48"/>
      <c r="Z49" s="48"/>
      <c r="AA49" s="48"/>
      <c r="AB49" s="48"/>
      <c r="AC49" s="48"/>
      <c r="AD49" s="48"/>
    </row>
    <row r="50" spans="1:30" ht="15.75" customHeight="1" outlineLevel="1">
      <c r="A50" s="61" t="str">
        <f t="shared" si="5"/>
        <v/>
      </c>
      <c r="B50" s="68" t="s">
        <v>153</v>
      </c>
      <c r="C50" s="68"/>
      <c r="D50" s="68"/>
      <c r="E50" s="63"/>
      <c r="F50" s="63"/>
      <c r="G50" s="68"/>
      <c r="H50" s="68"/>
      <c r="I50" s="68"/>
      <c r="J50" s="68"/>
      <c r="K50" s="65"/>
      <c r="L50" s="65"/>
      <c r="M50" s="66"/>
      <c r="N50" s="67" t="str">
        <f>IF(OR(IF(M50="",IF(L50="",IF(K50="","",K50), L50),M50)="F")=TRUE,"F",
IF(OR( IF(M50="",IF(L50="",IF(K50="","",K50), L50),M50)="PE")=TRUE,"PE",
IF(AND(IF(M50="",IF(L50="",IF(K50="","",K50), L50),M50)="")=TRUE,"","P")))</f>
        <v/>
      </c>
      <c r="O50" s="68"/>
      <c r="P50" s="68"/>
      <c r="Q50" s="48"/>
      <c r="R50" s="48"/>
      <c r="S50" s="48"/>
      <c r="T50" s="48"/>
      <c r="U50" s="48"/>
      <c r="V50" s="48"/>
      <c r="W50" s="48"/>
      <c r="X50" s="48"/>
      <c r="Y50" s="48"/>
      <c r="Z50" s="48"/>
      <c r="AA50" s="48"/>
      <c r="AB50" s="48"/>
      <c r="AC50" s="48"/>
      <c r="AD50" s="48"/>
    </row>
    <row r="51" spans="1:30" ht="15.75" customHeight="1">
      <c r="A51" s="79"/>
      <c r="B51" s="80"/>
      <c r="C51" s="81"/>
      <c r="D51" s="81"/>
      <c r="E51" s="82"/>
      <c r="F51" s="82"/>
      <c r="G51" s="83"/>
      <c r="H51" s="83"/>
      <c r="I51" s="83"/>
      <c r="J51" s="83"/>
      <c r="K51" s="84"/>
      <c r="L51" s="84"/>
      <c r="M51" s="84"/>
      <c r="N51" s="84"/>
      <c r="O51" s="83"/>
      <c r="P51" s="83"/>
      <c r="Q51" s="48"/>
      <c r="R51" s="48"/>
      <c r="S51" s="48"/>
      <c r="T51" s="48"/>
      <c r="U51" s="48"/>
      <c r="V51" s="48"/>
      <c r="W51" s="48"/>
      <c r="X51" s="48"/>
      <c r="Y51" s="48"/>
      <c r="Z51" s="48"/>
      <c r="AA51" s="48"/>
      <c r="AB51" s="48"/>
      <c r="AC51" s="48"/>
      <c r="AD51" s="48"/>
    </row>
    <row r="52" spans="1:30" ht="15.75" customHeight="1">
      <c r="A52" s="83"/>
      <c r="B52" s="132"/>
      <c r="C52" s="129"/>
      <c r="D52" s="129"/>
      <c r="E52" s="129"/>
      <c r="F52" s="130"/>
      <c r="G52" s="83"/>
      <c r="H52" s="83"/>
      <c r="I52" s="83"/>
      <c r="J52" s="83"/>
      <c r="K52" s="84"/>
      <c r="L52" s="84"/>
      <c r="M52" s="84"/>
      <c r="N52" s="84"/>
      <c r="O52" s="83"/>
      <c r="P52" s="83"/>
      <c r="Q52" s="48"/>
      <c r="R52" s="48"/>
      <c r="S52" s="48"/>
      <c r="T52" s="48"/>
      <c r="U52" s="48"/>
      <c r="V52" s="48"/>
      <c r="W52" s="48"/>
      <c r="X52" s="48"/>
      <c r="Y52" s="48"/>
      <c r="Z52" s="48"/>
      <c r="AA52" s="48"/>
      <c r="AB52" s="48"/>
      <c r="AC52" s="48"/>
      <c r="AD52" s="48"/>
    </row>
    <row r="53" spans="1:30" ht="15.75" customHeight="1">
      <c r="A53" s="83"/>
      <c r="B53" s="132"/>
      <c r="C53" s="129"/>
      <c r="D53" s="129"/>
      <c r="E53" s="129"/>
      <c r="F53" s="130"/>
      <c r="G53" s="83"/>
      <c r="H53" s="83"/>
      <c r="I53" s="83"/>
      <c r="J53" s="83"/>
      <c r="K53" s="84"/>
      <c r="L53" s="84"/>
      <c r="M53" s="84"/>
      <c r="N53" s="84"/>
      <c r="O53" s="83"/>
      <c r="P53" s="83"/>
      <c r="Q53" s="48"/>
      <c r="R53" s="48"/>
      <c r="S53" s="48"/>
      <c r="T53" s="48"/>
      <c r="U53" s="48"/>
      <c r="V53" s="48"/>
      <c r="W53" s="48"/>
      <c r="X53" s="48"/>
      <c r="Y53" s="48"/>
      <c r="Z53" s="48"/>
      <c r="AA53" s="48"/>
      <c r="AB53" s="48"/>
      <c r="AC53" s="48"/>
      <c r="AD53" s="48"/>
    </row>
    <row r="54" spans="1:30" ht="15.75" customHeight="1">
      <c r="A54" s="83"/>
      <c r="B54" s="132"/>
      <c r="C54" s="129"/>
      <c r="D54" s="129"/>
      <c r="E54" s="129"/>
      <c r="F54" s="129"/>
      <c r="G54" s="129"/>
      <c r="H54" s="129"/>
      <c r="I54" s="129"/>
      <c r="J54" s="129"/>
      <c r="K54" s="130"/>
      <c r="L54" s="84"/>
      <c r="M54" s="84"/>
      <c r="N54" s="84"/>
      <c r="O54" s="83"/>
      <c r="P54" s="83"/>
      <c r="Q54" s="48"/>
      <c r="R54" s="48"/>
      <c r="S54" s="48"/>
      <c r="T54" s="48"/>
      <c r="U54" s="48"/>
      <c r="V54" s="48"/>
      <c r="W54" s="48"/>
      <c r="X54" s="48"/>
      <c r="Y54" s="48"/>
      <c r="Z54" s="48"/>
      <c r="AA54" s="48"/>
      <c r="AB54" s="48"/>
      <c r="AC54" s="48"/>
      <c r="AD54" s="48"/>
    </row>
    <row r="55" spans="1:30" ht="15.75" customHeight="1">
      <c r="A55" s="83"/>
      <c r="B55" s="132"/>
      <c r="C55" s="129"/>
      <c r="D55" s="129"/>
      <c r="E55" s="129"/>
      <c r="F55" s="130"/>
      <c r="G55" s="83"/>
      <c r="H55" s="83"/>
      <c r="I55" s="83"/>
      <c r="J55" s="83"/>
      <c r="K55" s="84"/>
      <c r="L55" s="84"/>
      <c r="M55" s="84"/>
      <c r="N55" s="84"/>
      <c r="O55" s="83"/>
      <c r="P55" s="83"/>
      <c r="Q55" s="48"/>
      <c r="R55" s="48"/>
      <c r="S55" s="48"/>
      <c r="T55" s="48"/>
      <c r="U55" s="48"/>
      <c r="V55" s="48"/>
      <c r="W55" s="48"/>
      <c r="X55" s="48"/>
      <c r="Y55" s="48"/>
      <c r="Z55" s="48"/>
      <c r="AA55" s="48"/>
      <c r="AB55" s="48"/>
      <c r="AC55" s="48"/>
      <c r="AD55" s="48"/>
    </row>
    <row r="56" spans="1:30" ht="15.75" customHeight="1">
      <c r="A56" s="83"/>
      <c r="B56" s="132"/>
      <c r="C56" s="129"/>
      <c r="D56" s="130"/>
      <c r="E56" s="82"/>
      <c r="F56" s="82"/>
      <c r="G56" s="83"/>
      <c r="H56" s="83"/>
      <c r="I56" s="83"/>
      <c r="J56" s="83"/>
      <c r="K56" s="84"/>
      <c r="L56" s="84"/>
      <c r="M56" s="84"/>
      <c r="N56" s="84"/>
      <c r="O56" s="83"/>
      <c r="P56" s="83"/>
      <c r="Q56" s="48"/>
      <c r="R56" s="48"/>
      <c r="S56" s="48"/>
      <c r="T56" s="48"/>
      <c r="U56" s="48"/>
      <c r="V56" s="48"/>
      <c r="W56" s="48"/>
      <c r="X56" s="48"/>
      <c r="Y56" s="48"/>
      <c r="Z56" s="48"/>
      <c r="AA56" s="48"/>
      <c r="AB56" s="48"/>
      <c r="AC56" s="48"/>
      <c r="AD56" s="48"/>
    </row>
    <row r="57" spans="1:30" ht="15.75" customHeight="1">
      <c r="A57" s="83"/>
      <c r="B57" s="132"/>
      <c r="C57" s="129"/>
      <c r="D57" s="130"/>
      <c r="E57" s="82"/>
      <c r="F57" s="82"/>
      <c r="G57" s="83"/>
      <c r="H57" s="83"/>
      <c r="I57" s="83"/>
      <c r="J57" s="83"/>
      <c r="K57" s="84"/>
      <c r="L57" s="84"/>
      <c r="M57" s="84"/>
      <c r="N57" s="84"/>
      <c r="O57" s="83"/>
      <c r="P57" s="83"/>
      <c r="Q57" s="48"/>
      <c r="R57" s="48"/>
      <c r="S57" s="48"/>
      <c r="T57" s="48"/>
      <c r="U57" s="48"/>
      <c r="V57" s="48"/>
      <c r="W57" s="48"/>
      <c r="X57" s="48"/>
      <c r="Y57" s="48"/>
      <c r="Z57" s="48"/>
      <c r="AA57" s="48"/>
      <c r="AB57" s="48"/>
      <c r="AC57" s="48"/>
      <c r="AD57" s="48"/>
    </row>
    <row r="58" spans="1:30" ht="15.75" customHeight="1">
      <c r="A58" s="85"/>
      <c r="B58" s="48"/>
      <c r="C58" s="48"/>
      <c r="D58" s="48"/>
      <c r="E58" s="48"/>
      <c r="F58" s="48"/>
      <c r="G58" s="48"/>
      <c r="H58" s="48"/>
      <c r="I58" s="48"/>
      <c r="J58" s="48"/>
      <c r="K58" s="50"/>
      <c r="L58" s="48"/>
      <c r="M58" s="48"/>
      <c r="N58" s="50"/>
      <c r="O58" s="48"/>
      <c r="P58" s="48"/>
      <c r="Q58" s="48"/>
      <c r="R58" s="48"/>
      <c r="S58" s="48"/>
      <c r="T58" s="48"/>
      <c r="U58" s="48"/>
      <c r="V58" s="48"/>
      <c r="W58" s="48"/>
      <c r="X58" s="48"/>
      <c r="Y58" s="48"/>
      <c r="Z58" s="48"/>
      <c r="AA58" s="48"/>
      <c r="AB58" s="48"/>
      <c r="AC58" s="48"/>
      <c r="AD58" s="48"/>
    </row>
    <row r="59" spans="1:30" ht="15.75" customHeight="1">
      <c r="A59" s="85"/>
      <c r="B59" s="48"/>
      <c r="C59" s="48"/>
      <c r="D59" s="48"/>
      <c r="E59" s="48"/>
      <c r="F59" s="48"/>
      <c r="G59" s="48"/>
      <c r="H59" s="48"/>
      <c r="I59" s="48"/>
      <c r="J59" s="48"/>
      <c r="K59" s="50"/>
      <c r="L59" s="48"/>
      <c r="M59" s="48"/>
      <c r="N59" s="50"/>
      <c r="O59" s="48"/>
      <c r="P59" s="48"/>
      <c r="Q59" s="48"/>
      <c r="R59" s="48"/>
      <c r="S59" s="48"/>
      <c r="T59" s="48"/>
      <c r="U59" s="48"/>
      <c r="V59" s="48"/>
      <c r="W59" s="48"/>
      <c r="X59" s="48"/>
      <c r="Y59" s="48"/>
      <c r="Z59" s="48"/>
      <c r="AA59" s="48"/>
      <c r="AB59" s="48"/>
      <c r="AC59" s="48"/>
      <c r="AD59" s="48"/>
    </row>
    <row r="60" spans="1:30" ht="15.75" customHeight="1">
      <c r="A60" s="85"/>
      <c r="B60" s="48"/>
      <c r="C60" s="48"/>
      <c r="D60" s="48"/>
      <c r="E60" s="48"/>
      <c r="F60" s="48"/>
      <c r="G60" s="48"/>
      <c r="H60" s="48"/>
      <c r="I60" s="48"/>
      <c r="J60" s="48"/>
      <c r="K60" s="50"/>
      <c r="L60" s="48"/>
      <c r="M60" s="48"/>
      <c r="N60" s="50"/>
      <c r="O60" s="48"/>
      <c r="P60" s="48"/>
      <c r="Q60" s="48"/>
      <c r="R60" s="48"/>
      <c r="S60" s="48"/>
      <c r="T60" s="48"/>
      <c r="U60" s="48"/>
      <c r="V60" s="48"/>
      <c r="W60" s="48"/>
      <c r="X60" s="48"/>
      <c r="Y60" s="48"/>
      <c r="Z60" s="48"/>
      <c r="AA60" s="48"/>
      <c r="AB60" s="48"/>
      <c r="AC60" s="48"/>
      <c r="AD60" s="48"/>
    </row>
    <row r="61" spans="1:30" ht="15.75" customHeight="1">
      <c r="A61" s="85"/>
      <c r="B61" s="48"/>
      <c r="C61" s="48"/>
      <c r="D61" s="48"/>
      <c r="E61" s="48"/>
      <c r="F61" s="48"/>
      <c r="G61" s="48"/>
      <c r="H61" s="48"/>
      <c r="I61" s="48"/>
      <c r="J61" s="48"/>
      <c r="K61" s="50"/>
      <c r="L61" s="48"/>
      <c r="M61" s="48"/>
      <c r="N61" s="50"/>
      <c r="O61" s="48"/>
      <c r="P61" s="48"/>
      <c r="Q61" s="48"/>
      <c r="R61" s="48"/>
      <c r="S61" s="48"/>
      <c r="T61" s="48"/>
      <c r="U61" s="48"/>
      <c r="V61" s="48"/>
      <c r="W61" s="48"/>
      <c r="X61" s="48"/>
      <c r="Y61" s="48"/>
      <c r="Z61" s="48"/>
      <c r="AA61" s="48"/>
      <c r="AB61" s="48"/>
      <c r="AC61" s="48"/>
      <c r="AD61" s="48"/>
    </row>
    <row r="62" spans="1:30" ht="15.75" customHeight="1">
      <c r="A62" s="85"/>
      <c r="B62" s="48"/>
      <c r="C62" s="48"/>
      <c r="D62" s="48"/>
      <c r="E62" s="48"/>
      <c r="F62" s="48"/>
      <c r="G62" s="48"/>
      <c r="H62" s="48"/>
      <c r="I62" s="48"/>
      <c r="J62" s="48"/>
      <c r="K62" s="50"/>
      <c r="L62" s="48"/>
      <c r="M62" s="48"/>
      <c r="N62" s="50"/>
      <c r="O62" s="48"/>
      <c r="P62" s="48"/>
      <c r="Q62" s="48"/>
      <c r="R62" s="48"/>
      <c r="S62" s="48"/>
      <c r="T62" s="48"/>
      <c r="U62" s="48"/>
      <c r="V62" s="48"/>
      <c r="W62" s="48"/>
      <c r="X62" s="48"/>
      <c r="Y62" s="48"/>
      <c r="Z62" s="48"/>
      <c r="AA62" s="48"/>
      <c r="AB62" s="48"/>
      <c r="AC62" s="48"/>
      <c r="AD62" s="48"/>
    </row>
    <row r="63" spans="1:30" ht="15.75" customHeight="1">
      <c r="A63" s="85"/>
      <c r="B63" s="48"/>
      <c r="C63" s="48"/>
      <c r="D63" s="48"/>
      <c r="E63" s="48"/>
      <c r="F63" s="48"/>
      <c r="G63" s="48"/>
      <c r="H63" s="48"/>
      <c r="I63" s="48"/>
      <c r="J63" s="48"/>
      <c r="K63" s="50"/>
      <c r="L63" s="48"/>
      <c r="M63" s="48"/>
      <c r="N63" s="50"/>
      <c r="O63" s="48"/>
      <c r="P63" s="48"/>
      <c r="Q63" s="48"/>
      <c r="R63" s="48"/>
      <c r="S63" s="48"/>
      <c r="T63" s="48"/>
      <c r="U63" s="48"/>
      <c r="V63" s="48"/>
      <c r="W63" s="48"/>
      <c r="X63" s="48"/>
      <c r="Y63" s="48"/>
      <c r="Z63" s="48"/>
      <c r="AA63" s="48"/>
      <c r="AB63" s="48"/>
      <c r="AC63" s="48"/>
      <c r="AD63" s="48"/>
    </row>
    <row r="64" spans="1:30" ht="15.75" customHeight="1">
      <c r="A64" s="85"/>
      <c r="B64" s="48"/>
      <c r="C64" s="48"/>
      <c r="D64" s="48"/>
      <c r="E64" s="48"/>
      <c r="F64" s="48"/>
      <c r="G64" s="48"/>
      <c r="H64" s="48"/>
      <c r="I64" s="48"/>
      <c r="J64" s="48"/>
      <c r="K64" s="50"/>
      <c r="L64" s="48"/>
      <c r="M64" s="48"/>
      <c r="N64" s="50"/>
      <c r="O64" s="48"/>
      <c r="P64" s="48"/>
      <c r="Q64" s="48"/>
      <c r="R64" s="48"/>
      <c r="S64" s="48"/>
      <c r="T64" s="48"/>
      <c r="U64" s="48"/>
      <c r="V64" s="48"/>
      <c r="W64" s="48"/>
      <c r="X64" s="48"/>
      <c r="Y64" s="48"/>
      <c r="Z64" s="48"/>
      <c r="AA64" s="48"/>
      <c r="AB64" s="48"/>
      <c r="AC64" s="48"/>
      <c r="AD64" s="48"/>
    </row>
    <row r="65" spans="1:30" ht="15.75" customHeight="1">
      <c r="A65" s="85"/>
      <c r="B65" s="48"/>
      <c r="C65" s="48"/>
      <c r="D65" s="48"/>
      <c r="E65" s="48"/>
      <c r="F65" s="48"/>
      <c r="G65" s="48"/>
      <c r="H65" s="48"/>
      <c r="I65" s="48"/>
      <c r="J65" s="48"/>
      <c r="K65" s="50"/>
      <c r="L65" s="48"/>
      <c r="M65" s="48"/>
      <c r="N65" s="50"/>
      <c r="O65" s="48"/>
      <c r="P65" s="48"/>
      <c r="Q65" s="48"/>
      <c r="R65" s="48"/>
      <c r="S65" s="48"/>
      <c r="T65" s="48"/>
      <c r="U65" s="48"/>
      <c r="V65" s="48"/>
      <c r="W65" s="48"/>
      <c r="X65" s="48"/>
      <c r="Y65" s="48"/>
      <c r="Z65" s="48"/>
      <c r="AA65" s="48"/>
      <c r="AB65" s="48"/>
      <c r="AC65" s="48"/>
      <c r="AD65" s="48"/>
    </row>
    <row r="66" spans="1:30" ht="15.75" customHeight="1">
      <c r="A66" s="85"/>
      <c r="B66" s="48"/>
      <c r="C66" s="48"/>
      <c r="D66" s="48"/>
      <c r="E66" s="48"/>
      <c r="F66" s="48"/>
      <c r="G66" s="48"/>
      <c r="H66" s="48"/>
      <c r="I66" s="48"/>
      <c r="J66" s="48"/>
      <c r="K66" s="50"/>
      <c r="L66" s="48"/>
      <c r="M66" s="48"/>
      <c r="N66" s="50"/>
      <c r="O66" s="48"/>
      <c r="P66" s="48"/>
      <c r="Q66" s="48"/>
      <c r="R66" s="48"/>
      <c r="S66" s="48"/>
      <c r="T66" s="48"/>
      <c r="U66" s="48"/>
      <c r="V66" s="48"/>
      <c r="W66" s="48"/>
      <c r="X66" s="48"/>
      <c r="Y66" s="48"/>
      <c r="Z66" s="48"/>
      <c r="AA66" s="48"/>
      <c r="AB66" s="48"/>
      <c r="AC66" s="48"/>
      <c r="AD66" s="48"/>
    </row>
    <row r="67" spans="1:30" ht="15.75" customHeight="1">
      <c r="A67" s="85"/>
      <c r="B67" s="48"/>
      <c r="C67" s="48"/>
      <c r="D67" s="48"/>
      <c r="E67" s="48"/>
      <c r="F67" s="48"/>
      <c r="G67" s="48"/>
      <c r="H67" s="48"/>
      <c r="I67" s="48"/>
      <c r="J67" s="48"/>
      <c r="K67" s="50"/>
      <c r="L67" s="48"/>
      <c r="M67" s="48"/>
      <c r="N67" s="50"/>
      <c r="O67" s="48"/>
      <c r="P67" s="48"/>
      <c r="Q67" s="48"/>
      <c r="R67" s="48"/>
      <c r="S67" s="48"/>
      <c r="T67" s="48"/>
      <c r="U67" s="48"/>
      <c r="V67" s="48"/>
      <c r="W67" s="48"/>
      <c r="X67" s="48"/>
      <c r="Y67" s="48"/>
      <c r="Z67" s="48"/>
      <c r="AA67" s="48"/>
      <c r="AB67" s="48"/>
      <c r="AC67" s="48"/>
      <c r="AD67" s="48"/>
    </row>
    <row r="68" spans="1:30" ht="15.75" customHeight="1">
      <c r="A68" s="85"/>
      <c r="B68" s="48"/>
      <c r="C68" s="48"/>
      <c r="D68" s="48"/>
      <c r="E68" s="48"/>
      <c r="F68" s="48"/>
      <c r="G68" s="48"/>
      <c r="H68" s="48"/>
      <c r="I68" s="48"/>
      <c r="J68" s="48"/>
      <c r="K68" s="50"/>
      <c r="L68" s="48"/>
      <c r="M68" s="48"/>
      <c r="N68" s="50"/>
      <c r="O68" s="48"/>
      <c r="P68" s="48"/>
      <c r="Q68" s="48"/>
      <c r="R68" s="48"/>
      <c r="S68" s="48"/>
      <c r="T68" s="48"/>
      <c r="U68" s="48"/>
      <c r="V68" s="48"/>
      <c r="W68" s="48"/>
      <c r="X68" s="48"/>
      <c r="Y68" s="48"/>
      <c r="Z68" s="48"/>
      <c r="AA68" s="48"/>
      <c r="AB68" s="48"/>
      <c r="AC68" s="48"/>
      <c r="AD68" s="48"/>
    </row>
    <row r="69" spans="1:30" ht="15.75" customHeight="1">
      <c r="A69" s="85"/>
      <c r="B69" s="48"/>
      <c r="C69" s="48"/>
      <c r="D69" s="48"/>
      <c r="E69" s="48"/>
      <c r="F69" s="48"/>
      <c r="G69" s="48"/>
      <c r="H69" s="48"/>
      <c r="I69" s="48"/>
      <c r="J69" s="48"/>
      <c r="K69" s="50"/>
      <c r="L69" s="48"/>
      <c r="M69" s="48"/>
      <c r="N69" s="50"/>
      <c r="O69" s="48"/>
      <c r="P69" s="48"/>
      <c r="Q69" s="48"/>
      <c r="R69" s="48"/>
      <c r="S69" s="48"/>
      <c r="T69" s="48"/>
      <c r="U69" s="48"/>
      <c r="V69" s="48"/>
      <c r="W69" s="48"/>
      <c r="X69" s="48"/>
      <c r="Y69" s="48"/>
      <c r="Z69" s="48"/>
      <c r="AA69" s="48"/>
      <c r="AB69" s="48"/>
      <c r="AC69" s="48"/>
      <c r="AD69" s="48"/>
    </row>
    <row r="70" spans="1:30" ht="15.75" customHeight="1">
      <c r="A70" s="85"/>
      <c r="B70" s="48"/>
      <c r="C70" s="48"/>
      <c r="D70" s="48"/>
      <c r="E70" s="48"/>
      <c r="F70" s="48"/>
      <c r="G70" s="48"/>
      <c r="H70" s="48"/>
      <c r="I70" s="48"/>
      <c r="J70" s="48"/>
      <c r="K70" s="50"/>
      <c r="L70" s="48"/>
      <c r="M70" s="48"/>
      <c r="N70" s="50"/>
      <c r="O70" s="48"/>
      <c r="P70" s="48"/>
      <c r="Q70" s="48"/>
      <c r="R70" s="48"/>
      <c r="S70" s="48"/>
      <c r="T70" s="48"/>
      <c r="U70" s="48"/>
      <c r="V70" s="48"/>
      <c r="W70" s="48"/>
      <c r="X70" s="48"/>
      <c r="Y70" s="48"/>
      <c r="Z70" s="48"/>
      <c r="AA70" s="48"/>
      <c r="AB70" s="48"/>
      <c r="AC70" s="48"/>
      <c r="AD70" s="48"/>
    </row>
    <row r="71" spans="1:30" ht="15.75" customHeight="1">
      <c r="A71" s="85"/>
      <c r="B71" s="48"/>
      <c r="C71" s="48"/>
      <c r="D71" s="48"/>
      <c r="E71" s="48"/>
      <c r="F71" s="48"/>
      <c r="G71" s="48"/>
      <c r="H71" s="48"/>
      <c r="I71" s="48"/>
      <c r="J71" s="48"/>
      <c r="K71" s="50"/>
      <c r="L71" s="48"/>
      <c r="M71" s="48"/>
      <c r="N71" s="50"/>
      <c r="O71" s="48"/>
      <c r="P71" s="48"/>
      <c r="Q71" s="48"/>
      <c r="R71" s="48"/>
      <c r="S71" s="48"/>
      <c r="T71" s="48"/>
      <c r="U71" s="48"/>
      <c r="V71" s="48"/>
      <c r="W71" s="48"/>
      <c r="X71" s="48"/>
      <c r="Y71" s="48"/>
      <c r="Z71" s="48"/>
      <c r="AA71" s="48"/>
      <c r="AB71" s="48"/>
      <c r="AC71" s="48"/>
      <c r="AD71" s="48"/>
    </row>
    <row r="72" spans="1:30" ht="15.75" customHeight="1">
      <c r="A72" s="85"/>
      <c r="B72" s="48"/>
      <c r="C72" s="48"/>
      <c r="D72" s="48"/>
      <c r="E72" s="48"/>
      <c r="F72" s="48"/>
      <c r="G72" s="48"/>
      <c r="H72" s="48"/>
      <c r="I72" s="48"/>
      <c r="J72" s="48"/>
      <c r="K72" s="50"/>
      <c r="L72" s="48"/>
      <c r="M72" s="48"/>
      <c r="N72" s="50"/>
      <c r="O72" s="48"/>
      <c r="P72" s="48"/>
      <c r="Q72" s="48"/>
      <c r="R72" s="48"/>
      <c r="S72" s="48"/>
      <c r="T72" s="48"/>
      <c r="U72" s="48"/>
      <c r="V72" s="48"/>
      <c r="W72" s="48"/>
      <c r="X72" s="48"/>
      <c r="Y72" s="48"/>
      <c r="Z72" s="48"/>
      <c r="AA72" s="48"/>
      <c r="AB72" s="48"/>
      <c r="AC72" s="48"/>
      <c r="AD72" s="48"/>
    </row>
    <row r="73" spans="1:30" ht="15.75" customHeight="1">
      <c r="A73" s="85"/>
      <c r="B73" s="48"/>
      <c r="C73" s="48"/>
      <c r="D73" s="48"/>
      <c r="E73" s="48"/>
      <c r="F73" s="48"/>
      <c r="G73" s="48"/>
      <c r="H73" s="48"/>
      <c r="I73" s="48"/>
      <c r="J73" s="48"/>
      <c r="K73" s="50"/>
      <c r="L73" s="48"/>
      <c r="M73" s="48"/>
      <c r="N73" s="50"/>
      <c r="O73" s="48"/>
      <c r="P73" s="48"/>
      <c r="Q73" s="48"/>
      <c r="R73" s="48"/>
      <c r="S73" s="48"/>
      <c r="T73" s="48"/>
      <c r="U73" s="48"/>
      <c r="V73" s="48"/>
      <c r="W73" s="48"/>
      <c r="X73" s="48"/>
      <c r="Y73" s="48"/>
      <c r="Z73" s="48"/>
      <c r="AA73" s="48"/>
      <c r="AB73" s="48"/>
      <c r="AC73" s="48"/>
      <c r="AD73" s="48"/>
    </row>
    <row r="74" spans="1:30" ht="15.75" customHeight="1">
      <c r="A74" s="85"/>
      <c r="B74" s="48"/>
      <c r="C74" s="48"/>
      <c r="D74" s="48"/>
      <c r="E74" s="48"/>
      <c r="F74" s="48"/>
      <c r="G74" s="48"/>
      <c r="H74" s="48"/>
      <c r="I74" s="48"/>
      <c r="J74" s="48"/>
      <c r="K74" s="50"/>
      <c r="L74" s="48"/>
      <c r="M74" s="48"/>
      <c r="N74" s="50"/>
      <c r="O74" s="48"/>
      <c r="P74" s="48"/>
      <c r="Q74" s="48"/>
      <c r="R74" s="48"/>
      <c r="S74" s="48"/>
      <c r="T74" s="48"/>
      <c r="U74" s="48"/>
      <c r="V74" s="48"/>
      <c r="W74" s="48"/>
      <c r="X74" s="48"/>
      <c r="Y74" s="48"/>
      <c r="Z74" s="48"/>
      <c r="AA74" s="48"/>
      <c r="AB74" s="48"/>
      <c r="AC74" s="48"/>
      <c r="AD74" s="48"/>
    </row>
    <row r="75" spans="1:30" ht="15.75" customHeight="1">
      <c r="A75" s="85"/>
      <c r="B75" s="48"/>
      <c r="C75" s="48"/>
      <c r="D75" s="48"/>
      <c r="E75" s="48"/>
      <c r="F75" s="48"/>
      <c r="G75" s="48"/>
      <c r="H75" s="48"/>
      <c r="I75" s="48"/>
      <c r="J75" s="48"/>
      <c r="K75" s="50"/>
      <c r="L75" s="48"/>
      <c r="M75" s="48"/>
      <c r="N75" s="50"/>
      <c r="O75" s="48"/>
      <c r="P75" s="48"/>
      <c r="Q75" s="48"/>
      <c r="R75" s="48"/>
      <c r="S75" s="48"/>
      <c r="T75" s="48"/>
      <c r="U75" s="48"/>
      <c r="V75" s="48"/>
      <c r="W75" s="48"/>
      <c r="X75" s="48"/>
      <c r="Y75" s="48"/>
      <c r="Z75" s="48"/>
      <c r="AA75" s="48"/>
      <c r="AB75" s="48"/>
      <c r="AC75" s="48"/>
      <c r="AD75" s="48"/>
    </row>
    <row r="76" spans="1:30" ht="15.75" customHeight="1">
      <c r="A76" s="85"/>
      <c r="B76" s="48"/>
      <c r="C76" s="48"/>
      <c r="D76" s="48"/>
      <c r="E76" s="48"/>
      <c r="F76" s="48"/>
      <c r="G76" s="48"/>
      <c r="H76" s="48"/>
      <c r="I76" s="48"/>
      <c r="J76" s="48"/>
      <c r="K76" s="50"/>
      <c r="L76" s="48"/>
      <c r="M76" s="48"/>
      <c r="N76" s="50"/>
      <c r="O76" s="48"/>
      <c r="P76" s="48"/>
      <c r="Q76" s="48"/>
      <c r="R76" s="48"/>
      <c r="S76" s="48"/>
      <c r="T76" s="48"/>
      <c r="U76" s="48"/>
      <c r="V76" s="48"/>
      <c r="W76" s="48"/>
      <c r="X76" s="48"/>
      <c r="Y76" s="48"/>
      <c r="Z76" s="48"/>
      <c r="AA76" s="48"/>
      <c r="AB76" s="48"/>
      <c r="AC76" s="48"/>
      <c r="AD76" s="48"/>
    </row>
    <row r="77" spans="1:30" ht="15.75" customHeight="1">
      <c r="A77" s="85"/>
      <c r="B77" s="48"/>
      <c r="C77" s="48"/>
      <c r="D77" s="48"/>
      <c r="E77" s="48"/>
      <c r="F77" s="48"/>
      <c r="G77" s="48"/>
      <c r="H77" s="48"/>
      <c r="I77" s="48"/>
      <c r="J77" s="48"/>
      <c r="K77" s="50"/>
      <c r="L77" s="48"/>
      <c r="M77" s="48"/>
      <c r="N77" s="50"/>
      <c r="O77" s="48"/>
      <c r="P77" s="48"/>
      <c r="Q77" s="48"/>
      <c r="R77" s="48"/>
      <c r="S77" s="48"/>
      <c r="T77" s="48"/>
      <c r="U77" s="48"/>
      <c r="V77" s="48"/>
      <c r="W77" s="48"/>
      <c r="X77" s="48"/>
      <c r="Y77" s="48"/>
      <c r="Z77" s="48"/>
      <c r="AA77" s="48"/>
      <c r="AB77" s="48"/>
      <c r="AC77" s="48"/>
      <c r="AD77" s="48"/>
    </row>
    <row r="78" spans="1:30" ht="15.75" customHeight="1">
      <c r="A78" s="85"/>
      <c r="B78" s="48"/>
      <c r="C78" s="48"/>
      <c r="D78" s="48"/>
      <c r="E78" s="48"/>
      <c r="F78" s="48"/>
      <c r="G78" s="48"/>
      <c r="H78" s="48"/>
      <c r="I78" s="48"/>
      <c r="J78" s="48"/>
      <c r="K78" s="50"/>
      <c r="L78" s="48"/>
      <c r="M78" s="48"/>
      <c r="N78" s="50"/>
      <c r="O78" s="48"/>
      <c r="P78" s="48"/>
      <c r="Q78" s="48"/>
      <c r="R78" s="48"/>
      <c r="S78" s="48"/>
      <c r="T78" s="48"/>
      <c r="U78" s="48"/>
      <c r="V78" s="48"/>
      <c r="W78" s="48"/>
      <c r="X78" s="48"/>
      <c r="Y78" s="48"/>
      <c r="Z78" s="48"/>
      <c r="AA78" s="48"/>
      <c r="AB78" s="48"/>
      <c r="AC78" s="48"/>
      <c r="AD78" s="48"/>
    </row>
    <row r="79" spans="1:30" ht="15.75" customHeight="1">
      <c r="A79" s="85"/>
      <c r="B79" s="48"/>
      <c r="C79" s="48"/>
      <c r="D79" s="48"/>
      <c r="E79" s="48"/>
      <c r="F79" s="48"/>
      <c r="G79" s="48"/>
      <c r="H79" s="48"/>
      <c r="I79" s="48"/>
      <c r="J79" s="48"/>
      <c r="K79" s="50"/>
      <c r="L79" s="48"/>
      <c r="M79" s="48"/>
      <c r="N79" s="50"/>
      <c r="O79" s="48"/>
      <c r="P79" s="48"/>
      <c r="Q79" s="48"/>
      <c r="R79" s="48"/>
      <c r="S79" s="48"/>
      <c r="T79" s="48"/>
      <c r="U79" s="48"/>
      <c r="V79" s="48"/>
      <c r="W79" s="48"/>
      <c r="X79" s="48"/>
      <c r="Y79" s="48"/>
      <c r="Z79" s="48"/>
      <c r="AA79" s="48"/>
      <c r="AB79" s="48"/>
      <c r="AC79" s="48"/>
      <c r="AD79" s="48"/>
    </row>
    <row r="80" spans="1:30" ht="15.75" customHeight="1">
      <c r="A80" s="85"/>
      <c r="B80" s="48"/>
      <c r="C80" s="48"/>
      <c r="D80" s="48"/>
      <c r="E80" s="48"/>
      <c r="F80" s="48"/>
      <c r="G80" s="48"/>
      <c r="H80" s="48"/>
      <c r="I80" s="48"/>
      <c r="J80" s="48"/>
      <c r="K80" s="50"/>
      <c r="L80" s="48"/>
      <c r="M80" s="48"/>
      <c r="N80" s="50"/>
      <c r="O80" s="48"/>
      <c r="P80" s="48"/>
      <c r="Q80" s="48"/>
      <c r="R80" s="48"/>
      <c r="S80" s="48"/>
      <c r="T80" s="48"/>
      <c r="U80" s="48"/>
      <c r="V80" s="48"/>
      <c r="W80" s="48"/>
      <c r="X80" s="48"/>
      <c r="Y80" s="48"/>
      <c r="Z80" s="48"/>
      <c r="AA80" s="48"/>
      <c r="AB80" s="48"/>
      <c r="AC80" s="48"/>
      <c r="AD80" s="48"/>
    </row>
    <row r="81" spans="1:30" ht="15.75" customHeight="1">
      <c r="A81" s="85"/>
      <c r="B81" s="48"/>
      <c r="C81" s="48"/>
      <c r="D81" s="48"/>
      <c r="E81" s="48"/>
      <c r="F81" s="48"/>
      <c r="G81" s="48"/>
      <c r="H81" s="48"/>
      <c r="I81" s="48"/>
      <c r="J81" s="48"/>
      <c r="K81" s="50"/>
      <c r="L81" s="48"/>
      <c r="M81" s="48"/>
      <c r="N81" s="50"/>
      <c r="O81" s="48"/>
      <c r="P81" s="48"/>
      <c r="Q81" s="48"/>
      <c r="R81" s="48"/>
      <c r="S81" s="48"/>
      <c r="T81" s="48"/>
      <c r="U81" s="48"/>
      <c r="V81" s="48"/>
      <c r="W81" s="48"/>
      <c r="X81" s="48"/>
      <c r="Y81" s="48"/>
      <c r="Z81" s="48"/>
      <c r="AA81" s="48"/>
      <c r="AB81" s="48"/>
      <c r="AC81" s="48"/>
      <c r="AD81" s="48"/>
    </row>
    <row r="82" spans="1:30" ht="15.75" customHeight="1">
      <c r="A82" s="85"/>
      <c r="B82" s="48"/>
      <c r="C82" s="48"/>
      <c r="D82" s="48"/>
      <c r="E82" s="48"/>
      <c r="F82" s="48"/>
      <c r="G82" s="48"/>
      <c r="H82" s="48"/>
      <c r="I82" s="48"/>
      <c r="J82" s="48"/>
      <c r="K82" s="50"/>
      <c r="L82" s="48"/>
      <c r="M82" s="48"/>
      <c r="N82" s="50"/>
      <c r="O82" s="48"/>
      <c r="P82" s="48"/>
      <c r="Q82" s="48"/>
      <c r="R82" s="48"/>
      <c r="S82" s="48"/>
      <c r="T82" s="48"/>
      <c r="U82" s="48"/>
      <c r="V82" s="48"/>
      <c r="W82" s="48"/>
      <c r="X82" s="48"/>
      <c r="Y82" s="48"/>
      <c r="Z82" s="48"/>
      <c r="AA82" s="48"/>
      <c r="AB82" s="48"/>
      <c r="AC82" s="48"/>
      <c r="AD82" s="48"/>
    </row>
    <row r="83" spans="1:30" ht="15.75" customHeight="1">
      <c r="A83" s="85"/>
      <c r="B83" s="48"/>
      <c r="C83" s="48"/>
      <c r="D83" s="48"/>
      <c r="E83" s="48"/>
      <c r="F83" s="48"/>
      <c r="G83" s="48"/>
      <c r="H83" s="48"/>
      <c r="I83" s="48"/>
      <c r="J83" s="48"/>
      <c r="K83" s="50"/>
      <c r="L83" s="48"/>
      <c r="M83" s="48"/>
      <c r="N83" s="50"/>
      <c r="O83" s="48"/>
      <c r="P83" s="48"/>
      <c r="Q83" s="48"/>
      <c r="R83" s="48"/>
      <c r="S83" s="48"/>
      <c r="T83" s="48"/>
      <c r="U83" s="48"/>
      <c r="V83" s="48"/>
      <c r="W83" s="48"/>
      <c r="X83" s="48"/>
      <c r="Y83" s="48"/>
      <c r="Z83" s="48"/>
      <c r="AA83" s="48"/>
      <c r="AB83" s="48"/>
      <c r="AC83" s="48"/>
      <c r="AD83" s="48"/>
    </row>
    <row r="84" spans="1:30" ht="15.75" customHeight="1">
      <c r="A84" s="85"/>
      <c r="B84" s="48"/>
      <c r="C84" s="48"/>
      <c r="D84" s="48"/>
      <c r="E84" s="48"/>
      <c r="F84" s="48"/>
      <c r="G84" s="48"/>
      <c r="H84" s="48"/>
      <c r="I84" s="48"/>
      <c r="J84" s="48"/>
      <c r="K84" s="50"/>
      <c r="L84" s="48"/>
      <c r="M84" s="48"/>
      <c r="N84" s="50"/>
      <c r="O84" s="48"/>
      <c r="P84" s="48"/>
      <c r="Q84" s="48"/>
      <c r="R84" s="48"/>
      <c r="S84" s="48"/>
      <c r="T84" s="48"/>
      <c r="U84" s="48"/>
      <c r="V84" s="48"/>
      <c r="W84" s="48"/>
      <c r="X84" s="48"/>
      <c r="Y84" s="48"/>
      <c r="Z84" s="48"/>
      <c r="AA84" s="48"/>
      <c r="AB84" s="48"/>
      <c r="AC84" s="48"/>
      <c r="AD84" s="48"/>
    </row>
    <row r="85" spans="1:30" ht="15.75" customHeight="1">
      <c r="A85" s="85"/>
      <c r="B85" s="48"/>
      <c r="C85" s="48"/>
      <c r="D85" s="48"/>
      <c r="E85" s="48"/>
      <c r="F85" s="48"/>
      <c r="G85" s="48"/>
      <c r="H85" s="48"/>
      <c r="I85" s="48"/>
      <c r="J85" s="48"/>
      <c r="K85" s="50"/>
      <c r="L85" s="48"/>
      <c r="M85" s="48"/>
      <c r="N85" s="50"/>
      <c r="O85" s="48"/>
      <c r="P85" s="48"/>
      <c r="Q85" s="48"/>
      <c r="R85" s="48"/>
      <c r="S85" s="48"/>
      <c r="T85" s="48"/>
      <c r="U85" s="48"/>
      <c r="V85" s="48"/>
      <c r="W85" s="48"/>
      <c r="X85" s="48"/>
      <c r="Y85" s="48"/>
      <c r="Z85" s="48"/>
      <c r="AA85" s="48"/>
      <c r="AB85" s="48"/>
      <c r="AC85" s="48"/>
      <c r="AD85" s="48"/>
    </row>
    <row r="86" spans="1:30" ht="15.75" customHeight="1">
      <c r="A86" s="85"/>
      <c r="B86" s="48"/>
      <c r="C86" s="48"/>
      <c r="D86" s="48"/>
      <c r="E86" s="48"/>
      <c r="F86" s="48"/>
      <c r="G86" s="48"/>
      <c r="H86" s="48"/>
      <c r="I86" s="48"/>
      <c r="J86" s="48"/>
      <c r="K86" s="50"/>
      <c r="L86" s="48"/>
      <c r="M86" s="48"/>
      <c r="N86" s="50"/>
      <c r="O86" s="48"/>
      <c r="P86" s="48"/>
      <c r="Q86" s="48"/>
      <c r="R86" s="48"/>
      <c r="S86" s="48"/>
      <c r="T86" s="48"/>
      <c r="U86" s="48"/>
      <c r="V86" s="48"/>
      <c r="W86" s="48"/>
      <c r="X86" s="48"/>
      <c r="Y86" s="48"/>
      <c r="Z86" s="48"/>
      <c r="AA86" s="48"/>
      <c r="AB86" s="48"/>
      <c r="AC86" s="48"/>
      <c r="AD86" s="48"/>
    </row>
    <row r="87" spans="1:30" ht="15.75" customHeight="1">
      <c r="A87" s="85"/>
      <c r="B87" s="48"/>
      <c r="C87" s="48"/>
      <c r="D87" s="48"/>
      <c r="E87" s="48"/>
      <c r="F87" s="48"/>
      <c r="G87" s="48"/>
      <c r="H87" s="48"/>
      <c r="I87" s="48"/>
      <c r="J87" s="48"/>
      <c r="K87" s="50"/>
      <c r="L87" s="48"/>
      <c r="M87" s="48"/>
      <c r="N87" s="50"/>
      <c r="O87" s="48"/>
      <c r="P87" s="48"/>
      <c r="Q87" s="48"/>
      <c r="R87" s="48"/>
      <c r="S87" s="48"/>
      <c r="T87" s="48"/>
      <c r="U87" s="48"/>
      <c r="V87" s="48"/>
      <c r="W87" s="48"/>
      <c r="X87" s="48"/>
      <c r="Y87" s="48"/>
      <c r="Z87" s="48"/>
      <c r="AA87" s="48"/>
      <c r="AB87" s="48"/>
      <c r="AC87" s="48"/>
      <c r="AD87" s="48"/>
    </row>
    <row r="88" spans="1:30" ht="15.75" customHeight="1">
      <c r="A88" s="85"/>
      <c r="B88" s="48"/>
      <c r="C88" s="48"/>
      <c r="D88" s="48"/>
      <c r="E88" s="48"/>
      <c r="F88" s="48"/>
      <c r="G88" s="48"/>
      <c r="H88" s="48"/>
      <c r="I88" s="48"/>
      <c r="J88" s="48"/>
      <c r="K88" s="50"/>
      <c r="L88" s="48"/>
      <c r="M88" s="48"/>
      <c r="N88" s="50"/>
      <c r="O88" s="48"/>
      <c r="P88" s="48"/>
      <c r="Q88" s="48"/>
      <c r="R88" s="48"/>
      <c r="S88" s="48"/>
      <c r="T88" s="48"/>
      <c r="U88" s="48"/>
      <c r="V88" s="48"/>
      <c r="W88" s="48"/>
      <c r="X88" s="48"/>
      <c r="Y88" s="48"/>
      <c r="Z88" s="48"/>
      <c r="AA88" s="48"/>
      <c r="AB88" s="48"/>
      <c r="AC88" s="48"/>
      <c r="AD88" s="48"/>
    </row>
    <row r="89" spans="1:30" ht="15.75" customHeight="1">
      <c r="A89" s="85"/>
      <c r="B89" s="48"/>
      <c r="C89" s="48"/>
      <c r="D89" s="48"/>
      <c r="E89" s="48"/>
      <c r="F89" s="48"/>
      <c r="G89" s="48"/>
      <c r="H89" s="48"/>
      <c r="I89" s="48"/>
      <c r="J89" s="48"/>
      <c r="K89" s="50"/>
      <c r="L89" s="48"/>
      <c r="M89" s="48"/>
      <c r="N89" s="50"/>
      <c r="O89" s="48"/>
      <c r="P89" s="48"/>
      <c r="Q89" s="48"/>
      <c r="R89" s="48"/>
      <c r="S89" s="48"/>
      <c r="T89" s="48"/>
      <c r="U89" s="48"/>
      <c r="V89" s="48"/>
      <c r="W89" s="48"/>
      <c r="X89" s="48"/>
      <c r="Y89" s="48"/>
      <c r="Z89" s="48"/>
      <c r="AA89" s="48"/>
      <c r="AB89" s="48"/>
      <c r="AC89" s="48"/>
      <c r="AD89" s="48"/>
    </row>
    <row r="90" spans="1:30" ht="15.75" customHeight="1">
      <c r="A90" s="85"/>
      <c r="B90" s="48"/>
      <c r="C90" s="48"/>
      <c r="D90" s="48"/>
      <c r="E90" s="48"/>
      <c r="F90" s="48"/>
      <c r="G90" s="48"/>
      <c r="H90" s="48"/>
      <c r="I90" s="48"/>
      <c r="J90" s="48"/>
      <c r="K90" s="50"/>
      <c r="L90" s="48"/>
      <c r="M90" s="48"/>
      <c r="N90" s="50"/>
      <c r="O90" s="48"/>
      <c r="P90" s="48"/>
      <c r="Q90" s="48"/>
      <c r="R90" s="48"/>
      <c r="S90" s="48"/>
      <c r="T90" s="48"/>
      <c r="U90" s="48"/>
      <c r="V90" s="48"/>
      <c r="W90" s="48"/>
      <c r="X90" s="48"/>
      <c r="Y90" s="48"/>
      <c r="Z90" s="48"/>
      <c r="AA90" s="48"/>
      <c r="AB90" s="48"/>
      <c r="AC90" s="48"/>
      <c r="AD90" s="48"/>
    </row>
    <row r="91" spans="1:30" ht="15.75" customHeight="1">
      <c r="A91" s="85"/>
      <c r="B91" s="48"/>
      <c r="C91" s="48"/>
      <c r="D91" s="48"/>
      <c r="E91" s="48"/>
      <c r="F91" s="48"/>
      <c r="G91" s="48"/>
      <c r="H91" s="48"/>
      <c r="I91" s="48"/>
      <c r="J91" s="48"/>
      <c r="K91" s="50"/>
      <c r="L91" s="48"/>
      <c r="M91" s="48"/>
      <c r="N91" s="50"/>
      <c r="O91" s="48"/>
      <c r="P91" s="48"/>
      <c r="Q91" s="48"/>
      <c r="R91" s="48"/>
      <c r="S91" s="48"/>
      <c r="T91" s="48"/>
      <c r="U91" s="48"/>
      <c r="V91" s="48"/>
      <c r="W91" s="48"/>
      <c r="X91" s="48"/>
      <c r="Y91" s="48"/>
      <c r="Z91" s="48"/>
      <c r="AA91" s="48"/>
      <c r="AB91" s="48"/>
      <c r="AC91" s="48"/>
      <c r="AD91" s="48"/>
    </row>
    <row r="92" spans="1:30" ht="15.75" customHeight="1">
      <c r="A92" s="85"/>
      <c r="B92" s="48"/>
      <c r="C92" s="48"/>
      <c r="D92" s="48"/>
      <c r="E92" s="48"/>
      <c r="F92" s="48"/>
      <c r="G92" s="48"/>
      <c r="H92" s="48"/>
      <c r="I92" s="48"/>
      <c r="J92" s="48"/>
      <c r="K92" s="50"/>
      <c r="L92" s="48"/>
      <c r="M92" s="48"/>
      <c r="N92" s="50"/>
      <c r="O92" s="48"/>
      <c r="P92" s="48"/>
      <c r="Q92" s="48"/>
      <c r="R92" s="48"/>
      <c r="S92" s="48"/>
      <c r="T92" s="48"/>
      <c r="U92" s="48"/>
      <c r="V92" s="48"/>
      <c r="W92" s="48"/>
      <c r="X92" s="48"/>
      <c r="Y92" s="48"/>
      <c r="Z92" s="48"/>
      <c r="AA92" s="48"/>
      <c r="AB92" s="48"/>
      <c r="AC92" s="48"/>
      <c r="AD92" s="48"/>
    </row>
    <row r="93" spans="1:30" ht="15.75" customHeight="1">
      <c r="A93" s="85"/>
      <c r="B93" s="48"/>
      <c r="C93" s="48"/>
      <c r="D93" s="48"/>
      <c r="E93" s="48"/>
      <c r="F93" s="48"/>
      <c r="G93" s="48"/>
      <c r="H93" s="48"/>
      <c r="I93" s="48"/>
      <c r="J93" s="48"/>
      <c r="K93" s="50"/>
      <c r="L93" s="48"/>
      <c r="M93" s="48"/>
      <c r="N93" s="50"/>
      <c r="O93" s="48"/>
      <c r="P93" s="48"/>
      <c r="Q93" s="48"/>
      <c r="R93" s="48"/>
      <c r="S93" s="48"/>
      <c r="T93" s="48"/>
      <c r="U93" s="48"/>
      <c r="V93" s="48"/>
      <c r="W93" s="48"/>
      <c r="X93" s="48"/>
      <c r="Y93" s="48"/>
      <c r="Z93" s="48"/>
      <c r="AA93" s="48"/>
      <c r="AB93" s="48"/>
      <c r="AC93" s="48"/>
      <c r="AD93" s="48"/>
    </row>
    <row r="94" spans="1:30" ht="15.75" customHeight="1">
      <c r="A94" s="85"/>
      <c r="B94" s="48"/>
      <c r="C94" s="48"/>
      <c r="D94" s="48"/>
      <c r="E94" s="48"/>
      <c r="F94" s="48"/>
      <c r="G94" s="48"/>
      <c r="H94" s="48"/>
      <c r="I94" s="48"/>
      <c r="J94" s="48"/>
      <c r="K94" s="50"/>
      <c r="L94" s="48"/>
      <c r="M94" s="48"/>
      <c r="N94" s="50"/>
      <c r="O94" s="48"/>
      <c r="P94" s="48"/>
      <c r="Q94" s="48"/>
      <c r="R94" s="48"/>
      <c r="S94" s="48"/>
      <c r="T94" s="48"/>
      <c r="U94" s="48"/>
      <c r="V94" s="48"/>
      <c r="W94" s="48"/>
      <c r="X94" s="48"/>
      <c r="Y94" s="48"/>
      <c r="Z94" s="48"/>
      <c r="AA94" s="48"/>
      <c r="AB94" s="48"/>
      <c r="AC94" s="48"/>
      <c r="AD94" s="48"/>
    </row>
    <row r="95" spans="1:30" ht="15.75" customHeight="1">
      <c r="A95" s="85"/>
      <c r="B95" s="48"/>
      <c r="C95" s="48"/>
      <c r="D95" s="48"/>
      <c r="E95" s="48"/>
      <c r="F95" s="48"/>
      <c r="G95" s="48"/>
      <c r="H95" s="48"/>
      <c r="I95" s="48"/>
      <c r="J95" s="48"/>
      <c r="K95" s="50"/>
      <c r="L95" s="48"/>
      <c r="M95" s="48"/>
      <c r="N95" s="50"/>
      <c r="O95" s="48"/>
      <c r="P95" s="48"/>
      <c r="Q95" s="48"/>
      <c r="R95" s="48"/>
      <c r="S95" s="48"/>
      <c r="T95" s="48"/>
      <c r="U95" s="48"/>
      <c r="V95" s="48"/>
      <c r="W95" s="48"/>
      <c r="X95" s="48"/>
      <c r="Y95" s="48"/>
      <c r="Z95" s="48"/>
      <c r="AA95" s="48"/>
      <c r="AB95" s="48"/>
      <c r="AC95" s="48"/>
      <c r="AD95" s="48"/>
    </row>
    <row r="96" spans="1:30" ht="15.75" customHeight="1">
      <c r="A96" s="85"/>
      <c r="B96" s="48"/>
      <c r="C96" s="48"/>
      <c r="D96" s="48"/>
      <c r="E96" s="48"/>
      <c r="F96" s="48"/>
      <c r="G96" s="48"/>
      <c r="H96" s="48"/>
      <c r="I96" s="48"/>
      <c r="J96" s="48"/>
      <c r="K96" s="50"/>
      <c r="L96" s="48"/>
      <c r="M96" s="48"/>
      <c r="N96" s="50"/>
      <c r="O96" s="48"/>
      <c r="P96" s="48"/>
      <c r="Q96" s="48"/>
      <c r="R96" s="48"/>
      <c r="S96" s="48"/>
      <c r="T96" s="48"/>
      <c r="U96" s="48"/>
      <c r="V96" s="48"/>
      <c r="W96" s="48"/>
      <c r="X96" s="48"/>
      <c r="Y96" s="48"/>
      <c r="Z96" s="48"/>
      <c r="AA96" s="48"/>
      <c r="AB96" s="48"/>
      <c r="AC96" s="48"/>
      <c r="AD96" s="48"/>
    </row>
    <row r="97" spans="1:30" ht="15.75" customHeight="1">
      <c r="A97" s="85"/>
      <c r="B97" s="48"/>
      <c r="C97" s="48"/>
      <c r="D97" s="48"/>
      <c r="E97" s="48"/>
      <c r="F97" s="48"/>
      <c r="G97" s="48"/>
      <c r="H97" s="48"/>
      <c r="I97" s="48"/>
      <c r="J97" s="48"/>
      <c r="K97" s="50"/>
      <c r="L97" s="48"/>
      <c r="M97" s="48"/>
      <c r="N97" s="50"/>
      <c r="O97" s="48"/>
      <c r="P97" s="48"/>
      <c r="Q97" s="48"/>
      <c r="R97" s="48"/>
      <c r="S97" s="48"/>
      <c r="T97" s="48"/>
      <c r="U97" s="48"/>
      <c r="V97" s="48"/>
      <c r="W97" s="48"/>
      <c r="X97" s="48"/>
      <c r="Y97" s="48"/>
      <c r="Z97" s="48"/>
      <c r="AA97" s="48"/>
      <c r="AB97" s="48"/>
      <c r="AC97" s="48"/>
      <c r="AD97" s="48"/>
    </row>
    <row r="98" spans="1:30" ht="15.75" customHeight="1">
      <c r="A98" s="85"/>
      <c r="B98" s="48"/>
      <c r="C98" s="48"/>
      <c r="D98" s="48"/>
      <c r="E98" s="48"/>
      <c r="F98" s="48"/>
      <c r="G98" s="48"/>
      <c r="H98" s="48"/>
      <c r="I98" s="48"/>
      <c r="J98" s="48"/>
      <c r="K98" s="50"/>
      <c r="L98" s="48"/>
      <c r="M98" s="48"/>
      <c r="N98" s="50"/>
      <c r="O98" s="48"/>
      <c r="P98" s="48"/>
      <c r="Q98" s="48"/>
      <c r="R98" s="48"/>
      <c r="S98" s="48"/>
      <c r="T98" s="48"/>
      <c r="U98" s="48"/>
      <c r="V98" s="48"/>
      <c r="W98" s="48"/>
      <c r="X98" s="48"/>
      <c r="Y98" s="48"/>
      <c r="Z98" s="48"/>
      <c r="AA98" s="48"/>
      <c r="AB98" s="48"/>
      <c r="AC98" s="48"/>
      <c r="AD98" s="48"/>
    </row>
    <row r="99" spans="1:30" ht="15.75" customHeight="1">
      <c r="A99" s="85"/>
      <c r="B99" s="48"/>
      <c r="C99" s="48"/>
      <c r="D99" s="48"/>
      <c r="E99" s="48"/>
      <c r="F99" s="48"/>
      <c r="G99" s="48"/>
      <c r="H99" s="48"/>
      <c r="I99" s="48"/>
      <c r="J99" s="48"/>
      <c r="K99" s="50"/>
      <c r="L99" s="48"/>
      <c r="M99" s="48"/>
      <c r="N99" s="50"/>
      <c r="O99" s="48"/>
      <c r="P99" s="48"/>
      <c r="Q99" s="48"/>
      <c r="R99" s="48"/>
      <c r="S99" s="48"/>
      <c r="T99" s="48"/>
      <c r="U99" s="48"/>
      <c r="V99" s="48"/>
      <c r="W99" s="48"/>
      <c r="X99" s="48"/>
      <c r="Y99" s="48"/>
      <c r="Z99" s="48"/>
      <c r="AA99" s="48"/>
      <c r="AB99" s="48"/>
      <c r="AC99" s="48"/>
      <c r="AD99" s="48"/>
    </row>
    <row r="100" spans="1:30" ht="15.75" customHeight="1">
      <c r="A100" s="85"/>
      <c r="B100" s="48"/>
      <c r="C100" s="48"/>
      <c r="D100" s="48"/>
      <c r="E100" s="48"/>
      <c r="F100" s="48"/>
      <c r="G100" s="48"/>
      <c r="H100" s="48"/>
      <c r="I100" s="48"/>
      <c r="J100" s="48"/>
      <c r="K100" s="50"/>
      <c r="L100" s="48"/>
      <c r="M100" s="48"/>
      <c r="N100" s="50"/>
      <c r="O100" s="48"/>
      <c r="P100" s="48"/>
      <c r="Q100" s="48"/>
      <c r="R100" s="48"/>
      <c r="S100" s="48"/>
      <c r="T100" s="48"/>
      <c r="U100" s="48"/>
      <c r="V100" s="48"/>
      <c r="W100" s="48"/>
      <c r="X100" s="48"/>
      <c r="Y100" s="48"/>
      <c r="Z100" s="48"/>
      <c r="AA100" s="48"/>
      <c r="AB100" s="48"/>
      <c r="AC100" s="48"/>
      <c r="AD100" s="48"/>
    </row>
    <row r="101" spans="1:30" ht="15.75" customHeight="1">
      <c r="A101" s="85"/>
      <c r="B101" s="48"/>
      <c r="C101" s="48"/>
      <c r="D101" s="48"/>
      <c r="E101" s="48"/>
      <c r="F101" s="48"/>
      <c r="G101" s="48"/>
      <c r="H101" s="48"/>
      <c r="I101" s="48"/>
      <c r="J101" s="48"/>
      <c r="K101" s="50"/>
      <c r="L101" s="48"/>
      <c r="M101" s="48"/>
      <c r="N101" s="50"/>
      <c r="O101" s="48"/>
      <c r="P101" s="48"/>
      <c r="Q101" s="48"/>
      <c r="R101" s="48"/>
      <c r="S101" s="48"/>
      <c r="T101" s="48"/>
      <c r="U101" s="48"/>
      <c r="V101" s="48"/>
      <c r="W101" s="48"/>
      <c r="X101" s="48"/>
      <c r="Y101" s="48"/>
      <c r="Z101" s="48"/>
      <c r="AA101" s="48"/>
      <c r="AB101" s="48"/>
      <c r="AC101" s="48"/>
      <c r="AD101" s="48"/>
    </row>
    <row r="102" spans="1:30" ht="15.75" customHeight="1">
      <c r="A102" s="85"/>
      <c r="B102" s="48"/>
      <c r="C102" s="48"/>
      <c r="D102" s="48"/>
      <c r="E102" s="48"/>
      <c r="F102" s="48"/>
      <c r="G102" s="48"/>
      <c r="H102" s="48"/>
      <c r="I102" s="48"/>
      <c r="J102" s="48"/>
      <c r="K102" s="50"/>
      <c r="L102" s="48"/>
      <c r="M102" s="48"/>
      <c r="N102" s="50"/>
      <c r="O102" s="48"/>
      <c r="P102" s="48"/>
      <c r="Q102" s="48"/>
      <c r="R102" s="48"/>
      <c r="S102" s="48"/>
      <c r="T102" s="48"/>
      <c r="U102" s="48"/>
      <c r="V102" s="48"/>
      <c r="W102" s="48"/>
      <c r="X102" s="48"/>
      <c r="Y102" s="48"/>
      <c r="Z102" s="48"/>
      <c r="AA102" s="48"/>
      <c r="AB102" s="48"/>
      <c r="AC102" s="48"/>
      <c r="AD102" s="48"/>
    </row>
    <row r="103" spans="1:30" ht="15.75" customHeight="1">
      <c r="A103" s="85"/>
      <c r="B103" s="48"/>
      <c r="C103" s="48"/>
      <c r="D103" s="48"/>
      <c r="E103" s="48"/>
      <c r="F103" s="48"/>
      <c r="G103" s="48"/>
      <c r="H103" s="48"/>
      <c r="I103" s="48"/>
      <c r="J103" s="48"/>
      <c r="K103" s="50"/>
      <c r="L103" s="48"/>
      <c r="M103" s="48"/>
      <c r="N103" s="50"/>
      <c r="O103" s="48"/>
      <c r="P103" s="48"/>
      <c r="Q103" s="48"/>
      <c r="R103" s="48"/>
      <c r="S103" s="48"/>
      <c r="T103" s="48"/>
      <c r="U103" s="48"/>
      <c r="V103" s="48"/>
      <c r="W103" s="48"/>
      <c r="X103" s="48"/>
      <c r="Y103" s="48"/>
      <c r="Z103" s="48"/>
      <c r="AA103" s="48"/>
      <c r="AB103" s="48"/>
      <c r="AC103" s="48"/>
      <c r="AD103" s="48"/>
    </row>
    <row r="104" spans="1:30" ht="15.75" customHeight="1">
      <c r="A104" s="85"/>
      <c r="B104" s="48"/>
      <c r="C104" s="48"/>
      <c r="D104" s="48"/>
      <c r="E104" s="48"/>
      <c r="F104" s="48"/>
      <c r="G104" s="48"/>
      <c r="H104" s="48"/>
      <c r="I104" s="48"/>
      <c r="J104" s="48"/>
      <c r="K104" s="50"/>
      <c r="L104" s="48"/>
      <c r="M104" s="48"/>
      <c r="N104" s="50"/>
      <c r="O104" s="48"/>
      <c r="P104" s="48"/>
      <c r="Q104" s="48"/>
      <c r="R104" s="48"/>
      <c r="S104" s="48"/>
      <c r="T104" s="48"/>
      <c r="U104" s="48"/>
      <c r="V104" s="48"/>
      <c r="W104" s="48"/>
      <c r="X104" s="48"/>
      <c r="Y104" s="48"/>
      <c r="Z104" s="48"/>
      <c r="AA104" s="48"/>
      <c r="AB104" s="48"/>
      <c r="AC104" s="48"/>
      <c r="AD104" s="48"/>
    </row>
    <row r="105" spans="1:30" ht="15.75" customHeight="1">
      <c r="A105" s="85"/>
      <c r="B105" s="48"/>
      <c r="C105" s="48"/>
      <c r="D105" s="48"/>
      <c r="E105" s="48"/>
      <c r="F105" s="48"/>
      <c r="G105" s="48"/>
      <c r="H105" s="48"/>
      <c r="I105" s="48"/>
      <c r="J105" s="48"/>
      <c r="K105" s="50"/>
      <c r="L105" s="48"/>
      <c r="M105" s="48"/>
      <c r="N105" s="50"/>
      <c r="O105" s="48"/>
      <c r="P105" s="48"/>
      <c r="Q105" s="48"/>
      <c r="R105" s="48"/>
      <c r="S105" s="48"/>
      <c r="T105" s="48"/>
      <c r="U105" s="48"/>
      <c r="V105" s="48"/>
      <c r="W105" s="48"/>
      <c r="X105" s="48"/>
      <c r="Y105" s="48"/>
      <c r="Z105" s="48"/>
      <c r="AA105" s="48"/>
      <c r="AB105" s="48"/>
      <c r="AC105" s="48"/>
      <c r="AD105" s="48"/>
    </row>
    <row r="106" spans="1:30" ht="15.75" customHeight="1">
      <c r="A106" s="85"/>
      <c r="B106" s="48"/>
      <c r="C106" s="48"/>
      <c r="D106" s="48"/>
      <c r="E106" s="48"/>
      <c r="F106" s="48"/>
      <c r="G106" s="48"/>
      <c r="H106" s="48"/>
      <c r="I106" s="48"/>
      <c r="J106" s="48"/>
      <c r="K106" s="50"/>
      <c r="L106" s="48"/>
      <c r="M106" s="48"/>
      <c r="N106" s="50"/>
      <c r="O106" s="48"/>
      <c r="P106" s="48"/>
      <c r="Q106" s="48"/>
      <c r="R106" s="48"/>
      <c r="S106" s="48"/>
      <c r="T106" s="48"/>
      <c r="U106" s="48"/>
      <c r="V106" s="48"/>
      <c r="W106" s="48"/>
      <c r="X106" s="48"/>
      <c r="Y106" s="48"/>
      <c r="Z106" s="48"/>
      <c r="AA106" s="48"/>
      <c r="AB106" s="48"/>
      <c r="AC106" s="48"/>
      <c r="AD106" s="48"/>
    </row>
    <row r="107" spans="1:30" ht="15.75" customHeight="1">
      <c r="A107" s="85"/>
      <c r="B107" s="48"/>
      <c r="C107" s="48"/>
      <c r="D107" s="48"/>
      <c r="E107" s="48"/>
      <c r="F107" s="48"/>
      <c r="G107" s="48"/>
      <c r="H107" s="48"/>
      <c r="I107" s="48"/>
      <c r="J107" s="48"/>
      <c r="K107" s="50"/>
      <c r="L107" s="48"/>
      <c r="M107" s="48"/>
      <c r="N107" s="50"/>
      <c r="O107" s="48"/>
      <c r="P107" s="48"/>
      <c r="Q107" s="48"/>
      <c r="R107" s="48"/>
      <c r="S107" s="48"/>
      <c r="T107" s="48"/>
      <c r="U107" s="48"/>
      <c r="V107" s="48"/>
      <c r="W107" s="48"/>
      <c r="X107" s="48"/>
      <c r="Y107" s="48"/>
      <c r="Z107" s="48"/>
      <c r="AA107" s="48"/>
      <c r="AB107" s="48"/>
      <c r="AC107" s="48"/>
      <c r="AD107" s="48"/>
    </row>
    <row r="108" spans="1:30" ht="15.75" customHeight="1">
      <c r="A108" s="85"/>
      <c r="B108" s="48"/>
      <c r="C108" s="48"/>
      <c r="D108" s="48"/>
      <c r="E108" s="48"/>
      <c r="F108" s="48"/>
      <c r="G108" s="48"/>
      <c r="H108" s="48"/>
      <c r="I108" s="48"/>
      <c r="J108" s="48"/>
      <c r="K108" s="50"/>
      <c r="L108" s="48"/>
      <c r="M108" s="48"/>
      <c r="N108" s="50"/>
      <c r="O108" s="48"/>
      <c r="P108" s="48"/>
      <c r="Q108" s="48"/>
      <c r="R108" s="48"/>
      <c r="S108" s="48"/>
      <c r="T108" s="48"/>
      <c r="U108" s="48"/>
      <c r="V108" s="48"/>
      <c r="W108" s="48"/>
      <c r="X108" s="48"/>
      <c r="Y108" s="48"/>
      <c r="Z108" s="48"/>
      <c r="AA108" s="48"/>
      <c r="AB108" s="48"/>
      <c r="AC108" s="48"/>
      <c r="AD108" s="48"/>
    </row>
    <row r="109" spans="1:30" ht="15.75" customHeight="1">
      <c r="A109" s="85"/>
      <c r="B109" s="48"/>
      <c r="C109" s="48"/>
      <c r="D109" s="48"/>
      <c r="E109" s="48"/>
      <c r="F109" s="48"/>
      <c r="G109" s="48"/>
      <c r="H109" s="48"/>
      <c r="I109" s="48"/>
      <c r="J109" s="48"/>
      <c r="K109" s="50"/>
      <c r="L109" s="48"/>
      <c r="M109" s="48"/>
      <c r="N109" s="50"/>
      <c r="O109" s="48"/>
      <c r="P109" s="48"/>
      <c r="Q109" s="48"/>
      <c r="R109" s="48"/>
      <c r="S109" s="48"/>
      <c r="T109" s="48"/>
      <c r="U109" s="48"/>
      <c r="V109" s="48"/>
      <c r="W109" s="48"/>
      <c r="X109" s="48"/>
      <c r="Y109" s="48"/>
      <c r="Z109" s="48"/>
      <c r="AA109" s="48"/>
      <c r="AB109" s="48"/>
      <c r="AC109" s="48"/>
      <c r="AD109" s="48"/>
    </row>
    <row r="110" spans="1:30" ht="15.75" customHeight="1">
      <c r="A110" s="85"/>
      <c r="B110" s="48"/>
      <c r="C110" s="48"/>
      <c r="D110" s="48"/>
      <c r="E110" s="48"/>
      <c r="F110" s="48"/>
      <c r="G110" s="48"/>
      <c r="H110" s="48"/>
      <c r="I110" s="48"/>
      <c r="J110" s="48"/>
      <c r="K110" s="50"/>
      <c r="L110" s="48"/>
      <c r="M110" s="48"/>
      <c r="N110" s="50"/>
      <c r="O110" s="48"/>
      <c r="P110" s="48"/>
      <c r="Q110" s="48"/>
      <c r="R110" s="48"/>
      <c r="S110" s="48"/>
      <c r="T110" s="48"/>
      <c r="U110" s="48"/>
      <c r="V110" s="48"/>
      <c r="W110" s="48"/>
      <c r="X110" s="48"/>
      <c r="Y110" s="48"/>
      <c r="Z110" s="48"/>
      <c r="AA110" s="48"/>
      <c r="AB110" s="48"/>
      <c r="AC110" s="48"/>
      <c r="AD110" s="48"/>
    </row>
    <row r="111" spans="1:30" ht="15.75" customHeight="1">
      <c r="A111" s="85"/>
      <c r="B111" s="48"/>
      <c r="C111" s="48"/>
      <c r="D111" s="48"/>
      <c r="E111" s="48"/>
      <c r="F111" s="48"/>
      <c r="G111" s="48"/>
      <c r="H111" s="48"/>
      <c r="I111" s="48"/>
      <c r="J111" s="48"/>
      <c r="K111" s="50"/>
      <c r="L111" s="48"/>
      <c r="M111" s="48"/>
      <c r="N111" s="50"/>
      <c r="O111" s="48"/>
      <c r="P111" s="48"/>
      <c r="Q111" s="48"/>
      <c r="R111" s="48"/>
      <c r="S111" s="48"/>
      <c r="T111" s="48"/>
      <c r="U111" s="48"/>
      <c r="V111" s="48"/>
      <c r="W111" s="48"/>
      <c r="X111" s="48"/>
      <c r="Y111" s="48"/>
      <c r="Z111" s="48"/>
      <c r="AA111" s="48"/>
      <c r="AB111" s="48"/>
      <c r="AC111" s="48"/>
      <c r="AD111" s="48"/>
    </row>
    <row r="112" spans="1:30" ht="15.75" customHeight="1">
      <c r="A112" s="85"/>
      <c r="B112" s="48"/>
      <c r="C112" s="48"/>
      <c r="D112" s="48"/>
      <c r="E112" s="48"/>
      <c r="F112" s="48"/>
      <c r="G112" s="48"/>
      <c r="H112" s="48"/>
      <c r="I112" s="48"/>
      <c r="J112" s="48"/>
      <c r="K112" s="50"/>
      <c r="L112" s="48"/>
      <c r="M112" s="48"/>
      <c r="N112" s="50"/>
      <c r="O112" s="48"/>
      <c r="P112" s="48"/>
      <c r="Q112" s="48"/>
      <c r="R112" s="48"/>
      <c r="S112" s="48"/>
      <c r="T112" s="48"/>
      <c r="U112" s="48"/>
      <c r="V112" s="48"/>
      <c r="W112" s="48"/>
      <c r="X112" s="48"/>
      <c r="Y112" s="48"/>
      <c r="Z112" s="48"/>
      <c r="AA112" s="48"/>
      <c r="AB112" s="48"/>
      <c r="AC112" s="48"/>
      <c r="AD112" s="48"/>
    </row>
    <row r="113" spans="1:30" ht="15.75" customHeight="1">
      <c r="A113" s="85"/>
      <c r="B113" s="48"/>
      <c r="C113" s="48"/>
      <c r="D113" s="48"/>
      <c r="E113" s="48"/>
      <c r="F113" s="48"/>
      <c r="G113" s="48"/>
      <c r="H113" s="48"/>
      <c r="I113" s="48"/>
      <c r="J113" s="48"/>
      <c r="K113" s="50"/>
      <c r="L113" s="48"/>
      <c r="M113" s="48"/>
      <c r="N113" s="50"/>
      <c r="O113" s="48"/>
      <c r="P113" s="48"/>
      <c r="Q113" s="48"/>
      <c r="R113" s="48"/>
      <c r="S113" s="48"/>
      <c r="T113" s="48"/>
      <c r="U113" s="48"/>
      <c r="V113" s="48"/>
      <c r="W113" s="48"/>
      <c r="X113" s="48"/>
      <c r="Y113" s="48"/>
      <c r="Z113" s="48"/>
      <c r="AA113" s="48"/>
      <c r="AB113" s="48"/>
      <c r="AC113" s="48"/>
      <c r="AD113" s="48"/>
    </row>
    <row r="114" spans="1:30" ht="15.75" customHeight="1">
      <c r="A114" s="85"/>
      <c r="B114" s="48"/>
      <c r="C114" s="48"/>
      <c r="D114" s="48"/>
      <c r="E114" s="48"/>
      <c r="F114" s="48"/>
      <c r="G114" s="48"/>
      <c r="H114" s="48"/>
      <c r="I114" s="48"/>
      <c r="J114" s="48"/>
      <c r="K114" s="50"/>
      <c r="L114" s="48"/>
      <c r="M114" s="48"/>
      <c r="N114" s="50"/>
      <c r="O114" s="48"/>
      <c r="P114" s="48"/>
      <c r="Q114" s="48"/>
      <c r="R114" s="48"/>
      <c r="S114" s="48"/>
      <c r="T114" s="48"/>
      <c r="U114" s="48"/>
      <c r="V114" s="48"/>
      <c r="W114" s="48"/>
      <c r="X114" s="48"/>
      <c r="Y114" s="48"/>
      <c r="Z114" s="48"/>
      <c r="AA114" s="48"/>
      <c r="AB114" s="48"/>
      <c r="AC114" s="48"/>
      <c r="AD114" s="48"/>
    </row>
    <row r="115" spans="1:30" ht="15.75" customHeight="1">
      <c r="A115" s="85"/>
      <c r="B115" s="48"/>
      <c r="C115" s="48"/>
      <c r="D115" s="48"/>
      <c r="E115" s="48"/>
      <c r="F115" s="48"/>
      <c r="G115" s="48"/>
      <c r="H115" s="48"/>
      <c r="I115" s="48"/>
      <c r="J115" s="48"/>
      <c r="K115" s="50"/>
      <c r="L115" s="48"/>
      <c r="M115" s="48"/>
      <c r="N115" s="50"/>
      <c r="O115" s="48"/>
      <c r="P115" s="48"/>
      <c r="Q115" s="48"/>
      <c r="R115" s="48"/>
      <c r="S115" s="48"/>
      <c r="T115" s="48"/>
      <c r="U115" s="48"/>
      <c r="V115" s="48"/>
      <c r="W115" s="48"/>
      <c r="X115" s="48"/>
      <c r="Y115" s="48"/>
      <c r="Z115" s="48"/>
      <c r="AA115" s="48"/>
      <c r="AB115" s="48"/>
      <c r="AC115" s="48"/>
      <c r="AD115" s="48"/>
    </row>
    <row r="116" spans="1:30" ht="15.75" customHeight="1">
      <c r="A116" s="85"/>
      <c r="B116" s="48"/>
      <c r="C116" s="48"/>
      <c r="D116" s="48"/>
      <c r="E116" s="48"/>
      <c r="F116" s="48"/>
      <c r="G116" s="48"/>
      <c r="H116" s="48"/>
      <c r="I116" s="48"/>
      <c r="J116" s="48"/>
      <c r="K116" s="50"/>
      <c r="L116" s="48"/>
      <c r="M116" s="48"/>
      <c r="N116" s="50"/>
      <c r="O116" s="48"/>
      <c r="P116" s="48"/>
      <c r="Q116" s="48"/>
      <c r="R116" s="48"/>
      <c r="S116" s="48"/>
      <c r="T116" s="48"/>
      <c r="U116" s="48"/>
      <c r="V116" s="48"/>
      <c r="W116" s="48"/>
      <c r="X116" s="48"/>
      <c r="Y116" s="48"/>
      <c r="Z116" s="48"/>
      <c r="AA116" s="48"/>
      <c r="AB116" s="48"/>
      <c r="AC116" s="48"/>
      <c r="AD116" s="48"/>
    </row>
    <row r="117" spans="1:30" ht="15.75" customHeight="1">
      <c r="A117" s="85"/>
      <c r="B117" s="48"/>
      <c r="C117" s="48"/>
      <c r="D117" s="48"/>
      <c r="E117" s="48"/>
      <c r="F117" s="48"/>
      <c r="G117" s="48"/>
      <c r="H117" s="48"/>
      <c r="I117" s="48"/>
      <c r="J117" s="48"/>
      <c r="K117" s="50"/>
      <c r="L117" s="48"/>
      <c r="M117" s="48"/>
      <c r="N117" s="50"/>
      <c r="O117" s="48"/>
      <c r="P117" s="48"/>
      <c r="Q117" s="48"/>
      <c r="R117" s="48"/>
      <c r="S117" s="48"/>
      <c r="T117" s="48"/>
      <c r="U117" s="48"/>
      <c r="V117" s="48"/>
      <c r="W117" s="48"/>
      <c r="X117" s="48"/>
      <c r="Y117" s="48"/>
      <c r="Z117" s="48"/>
      <c r="AA117" s="48"/>
      <c r="AB117" s="48"/>
      <c r="AC117" s="48"/>
      <c r="AD117" s="48"/>
    </row>
    <row r="118" spans="1:30" ht="15.75" customHeight="1">
      <c r="A118" s="85"/>
      <c r="B118" s="48"/>
      <c r="C118" s="48"/>
      <c r="D118" s="48"/>
      <c r="E118" s="48"/>
      <c r="F118" s="48"/>
      <c r="G118" s="48"/>
      <c r="H118" s="48"/>
      <c r="I118" s="48"/>
      <c r="J118" s="48"/>
      <c r="K118" s="50"/>
      <c r="L118" s="48"/>
      <c r="M118" s="48"/>
      <c r="N118" s="50"/>
      <c r="O118" s="48"/>
      <c r="P118" s="48"/>
      <c r="Q118" s="48"/>
      <c r="R118" s="48"/>
      <c r="S118" s="48"/>
      <c r="T118" s="48"/>
      <c r="U118" s="48"/>
      <c r="V118" s="48"/>
      <c r="W118" s="48"/>
      <c r="X118" s="48"/>
      <c r="Y118" s="48"/>
      <c r="Z118" s="48"/>
      <c r="AA118" s="48"/>
      <c r="AB118" s="48"/>
      <c r="AC118" s="48"/>
      <c r="AD118" s="48"/>
    </row>
    <row r="119" spans="1:30" ht="15.75" customHeight="1">
      <c r="A119" s="85"/>
      <c r="B119" s="48"/>
      <c r="C119" s="48"/>
      <c r="D119" s="48"/>
      <c r="E119" s="48"/>
      <c r="F119" s="48"/>
      <c r="G119" s="48"/>
      <c r="H119" s="48"/>
      <c r="I119" s="48"/>
      <c r="J119" s="48"/>
      <c r="K119" s="50"/>
      <c r="L119" s="48"/>
      <c r="M119" s="48"/>
      <c r="N119" s="50"/>
      <c r="O119" s="48"/>
      <c r="P119" s="48"/>
      <c r="Q119" s="48"/>
      <c r="R119" s="48"/>
      <c r="S119" s="48"/>
      <c r="T119" s="48"/>
      <c r="U119" s="48"/>
      <c r="V119" s="48"/>
      <c r="W119" s="48"/>
      <c r="X119" s="48"/>
      <c r="Y119" s="48"/>
      <c r="Z119" s="48"/>
      <c r="AA119" s="48"/>
      <c r="AB119" s="48"/>
      <c r="AC119" s="48"/>
      <c r="AD119" s="48"/>
    </row>
    <row r="120" spans="1:30" ht="15.75" customHeight="1">
      <c r="A120" s="85"/>
      <c r="B120" s="48"/>
      <c r="C120" s="48"/>
      <c r="D120" s="48"/>
      <c r="E120" s="48"/>
      <c r="F120" s="48"/>
      <c r="G120" s="48"/>
      <c r="H120" s="48"/>
      <c r="I120" s="48"/>
      <c r="J120" s="48"/>
      <c r="K120" s="50"/>
      <c r="L120" s="48"/>
      <c r="M120" s="48"/>
      <c r="N120" s="50"/>
      <c r="O120" s="48"/>
      <c r="P120" s="48"/>
      <c r="Q120" s="48"/>
      <c r="R120" s="48"/>
      <c r="S120" s="48"/>
      <c r="T120" s="48"/>
      <c r="U120" s="48"/>
      <c r="V120" s="48"/>
      <c r="W120" s="48"/>
      <c r="X120" s="48"/>
      <c r="Y120" s="48"/>
      <c r="Z120" s="48"/>
      <c r="AA120" s="48"/>
      <c r="AB120" s="48"/>
      <c r="AC120" s="48"/>
      <c r="AD120" s="48"/>
    </row>
    <row r="121" spans="1:30" ht="15.75" customHeight="1">
      <c r="A121" s="85"/>
      <c r="B121" s="48"/>
      <c r="C121" s="48"/>
      <c r="D121" s="48"/>
      <c r="E121" s="48"/>
      <c r="F121" s="48"/>
      <c r="G121" s="48"/>
      <c r="H121" s="48"/>
      <c r="I121" s="48"/>
      <c r="J121" s="48"/>
      <c r="K121" s="50"/>
      <c r="L121" s="48"/>
      <c r="M121" s="48"/>
      <c r="N121" s="50"/>
      <c r="O121" s="48"/>
      <c r="P121" s="48"/>
      <c r="Q121" s="48"/>
      <c r="R121" s="48"/>
      <c r="S121" s="48"/>
      <c r="T121" s="48"/>
      <c r="U121" s="48"/>
      <c r="V121" s="48"/>
      <c r="W121" s="48"/>
      <c r="X121" s="48"/>
      <c r="Y121" s="48"/>
      <c r="Z121" s="48"/>
      <c r="AA121" s="48"/>
      <c r="AB121" s="48"/>
      <c r="AC121" s="48"/>
      <c r="AD121" s="48"/>
    </row>
    <row r="122" spans="1:30" ht="15.75" customHeight="1">
      <c r="A122" s="85"/>
      <c r="B122" s="48"/>
      <c r="C122" s="48"/>
      <c r="D122" s="48"/>
      <c r="E122" s="48"/>
      <c r="F122" s="48"/>
      <c r="G122" s="48"/>
      <c r="H122" s="48"/>
      <c r="I122" s="48"/>
      <c r="J122" s="48"/>
      <c r="K122" s="50"/>
      <c r="L122" s="48"/>
      <c r="M122" s="48"/>
      <c r="N122" s="50"/>
      <c r="O122" s="48"/>
      <c r="P122" s="48"/>
      <c r="Q122" s="48"/>
      <c r="R122" s="48"/>
      <c r="S122" s="48"/>
      <c r="T122" s="48"/>
      <c r="U122" s="48"/>
      <c r="V122" s="48"/>
      <c r="W122" s="48"/>
      <c r="X122" s="48"/>
      <c r="Y122" s="48"/>
      <c r="Z122" s="48"/>
      <c r="AA122" s="48"/>
      <c r="AB122" s="48"/>
      <c r="AC122" s="48"/>
      <c r="AD122" s="48"/>
    </row>
    <row r="123" spans="1:30" ht="15.75" customHeight="1">
      <c r="A123" s="85"/>
      <c r="B123" s="48"/>
      <c r="C123" s="48"/>
      <c r="D123" s="48"/>
      <c r="E123" s="48"/>
      <c r="F123" s="48"/>
      <c r="G123" s="48"/>
      <c r="H123" s="48"/>
      <c r="I123" s="48"/>
      <c r="J123" s="48"/>
      <c r="K123" s="50"/>
      <c r="L123" s="48"/>
      <c r="M123" s="48"/>
      <c r="N123" s="50"/>
      <c r="O123" s="48"/>
      <c r="P123" s="48"/>
      <c r="Q123" s="48"/>
      <c r="R123" s="48"/>
      <c r="S123" s="48"/>
      <c r="T123" s="48"/>
      <c r="U123" s="48"/>
      <c r="V123" s="48"/>
      <c r="W123" s="48"/>
      <c r="X123" s="48"/>
      <c r="Y123" s="48"/>
      <c r="Z123" s="48"/>
      <c r="AA123" s="48"/>
      <c r="AB123" s="48"/>
      <c r="AC123" s="48"/>
      <c r="AD123" s="48"/>
    </row>
    <row r="124" spans="1:30" ht="15.75" customHeight="1">
      <c r="A124" s="85"/>
      <c r="B124" s="48"/>
      <c r="C124" s="48"/>
      <c r="D124" s="48"/>
      <c r="E124" s="48"/>
      <c r="F124" s="48"/>
      <c r="G124" s="48"/>
      <c r="H124" s="48"/>
      <c r="I124" s="48"/>
      <c r="J124" s="48"/>
      <c r="K124" s="50"/>
      <c r="L124" s="48"/>
      <c r="M124" s="48"/>
      <c r="N124" s="50"/>
      <c r="O124" s="48"/>
      <c r="P124" s="48"/>
      <c r="Q124" s="48"/>
      <c r="R124" s="48"/>
      <c r="S124" s="48"/>
      <c r="T124" s="48"/>
      <c r="U124" s="48"/>
      <c r="V124" s="48"/>
      <c r="W124" s="48"/>
      <c r="X124" s="48"/>
      <c r="Y124" s="48"/>
      <c r="Z124" s="48"/>
      <c r="AA124" s="48"/>
      <c r="AB124" s="48"/>
      <c r="AC124" s="48"/>
      <c r="AD124" s="48"/>
    </row>
    <row r="125" spans="1:30" ht="15.75" customHeight="1">
      <c r="A125" s="85"/>
      <c r="B125" s="48"/>
      <c r="C125" s="48"/>
      <c r="D125" s="48"/>
      <c r="E125" s="48"/>
      <c r="F125" s="48"/>
      <c r="G125" s="48"/>
      <c r="H125" s="48"/>
      <c r="I125" s="48"/>
      <c r="J125" s="48"/>
      <c r="K125" s="50"/>
      <c r="L125" s="48"/>
      <c r="M125" s="48"/>
      <c r="N125" s="50"/>
      <c r="O125" s="48"/>
      <c r="P125" s="48"/>
      <c r="Q125" s="48"/>
      <c r="R125" s="48"/>
      <c r="S125" s="48"/>
      <c r="T125" s="48"/>
      <c r="U125" s="48"/>
      <c r="V125" s="48"/>
      <c r="W125" s="48"/>
      <c r="X125" s="48"/>
      <c r="Y125" s="48"/>
      <c r="Z125" s="48"/>
      <c r="AA125" s="48"/>
      <c r="AB125" s="48"/>
      <c r="AC125" s="48"/>
      <c r="AD125" s="48"/>
    </row>
    <row r="126" spans="1:30" ht="15.75" customHeight="1">
      <c r="A126" s="85"/>
      <c r="B126" s="48"/>
      <c r="C126" s="48"/>
      <c r="D126" s="48"/>
      <c r="E126" s="48"/>
      <c r="F126" s="48"/>
      <c r="G126" s="48"/>
      <c r="H126" s="48"/>
      <c r="I126" s="48"/>
      <c r="J126" s="48"/>
      <c r="K126" s="50"/>
      <c r="L126" s="48"/>
      <c r="M126" s="48"/>
      <c r="N126" s="50"/>
      <c r="O126" s="48"/>
      <c r="P126" s="48"/>
      <c r="Q126" s="48"/>
      <c r="R126" s="48"/>
      <c r="S126" s="48"/>
      <c r="T126" s="48"/>
      <c r="U126" s="48"/>
      <c r="V126" s="48"/>
      <c r="W126" s="48"/>
      <c r="X126" s="48"/>
      <c r="Y126" s="48"/>
      <c r="Z126" s="48"/>
      <c r="AA126" s="48"/>
      <c r="AB126" s="48"/>
      <c r="AC126" s="48"/>
      <c r="AD126" s="48"/>
    </row>
    <row r="127" spans="1:30" ht="15.75" customHeight="1">
      <c r="A127" s="85"/>
      <c r="B127" s="48"/>
      <c r="C127" s="48"/>
      <c r="D127" s="48"/>
      <c r="E127" s="48"/>
      <c r="F127" s="48"/>
      <c r="G127" s="48"/>
      <c r="H127" s="48"/>
      <c r="I127" s="48"/>
      <c r="J127" s="48"/>
      <c r="K127" s="50"/>
      <c r="L127" s="48"/>
      <c r="M127" s="48"/>
      <c r="N127" s="50"/>
      <c r="O127" s="48"/>
      <c r="P127" s="48"/>
      <c r="Q127" s="48"/>
      <c r="R127" s="48"/>
      <c r="S127" s="48"/>
      <c r="T127" s="48"/>
      <c r="U127" s="48"/>
      <c r="V127" s="48"/>
      <c r="W127" s="48"/>
      <c r="X127" s="48"/>
      <c r="Y127" s="48"/>
      <c r="Z127" s="48"/>
      <c r="AA127" s="48"/>
      <c r="AB127" s="48"/>
      <c r="AC127" s="48"/>
      <c r="AD127" s="48"/>
    </row>
    <row r="128" spans="1:30" ht="15.75" customHeight="1">
      <c r="A128" s="85"/>
      <c r="B128" s="48"/>
      <c r="C128" s="48"/>
      <c r="D128" s="48"/>
      <c r="E128" s="48"/>
      <c r="F128" s="48"/>
      <c r="G128" s="48"/>
      <c r="H128" s="48"/>
      <c r="I128" s="48"/>
      <c r="J128" s="48"/>
      <c r="K128" s="50"/>
      <c r="L128" s="48"/>
      <c r="M128" s="48"/>
      <c r="N128" s="50"/>
      <c r="O128" s="48"/>
      <c r="P128" s="48"/>
      <c r="Q128" s="48"/>
      <c r="R128" s="48"/>
      <c r="S128" s="48"/>
      <c r="T128" s="48"/>
      <c r="U128" s="48"/>
      <c r="V128" s="48"/>
      <c r="W128" s="48"/>
      <c r="X128" s="48"/>
      <c r="Y128" s="48"/>
      <c r="Z128" s="48"/>
      <c r="AA128" s="48"/>
      <c r="AB128" s="48"/>
      <c r="AC128" s="48"/>
      <c r="AD128" s="48"/>
    </row>
    <row r="129" spans="1:30" ht="15.75" customHeight="1">
      <c r="A129" s="85"/>
      <c r="B129" s="48"/>
      <c r="C129" s="48"/>
      <c r="D129" s="48"/>
      <c r="E129" s="48"/>
      <c r="F129" s="48"/>
      <c r="G129" s="48"/>
      <c r="H129" s="48"/>
      <c r="I129" s="48"/>
      <c r="J129" s="48"/>
      <c r="K129" s="50"/>
      <c r="L129" s="48"/>
      <c r="M129" s="48"/>
      <c r="N129" s="50"/>
      <c r="O129" s="48"/>
      <c r="P129" s="48"/>
      <c r="Q129" s="48"/>
      <c r="R129" s="48"/>
      <c r="S129" s="48"/>
      <c r="T129" s="48"/>
      <c r="U129" s="48"/>
      <c r="V129" s="48"/>
      <c r="W129" s="48"/>
      <c r="X129" s="48"/>
      <c r="Y129" s="48"/>
      <c r="Z129" s="48"/>
      <c r="AA129" s="48"/>
      <c r="AB129" s="48"/>
      <c r="AC129" s="48"/>
      <c r="AD129" s="48"/>
    </row>
    <row r="130" spans="1:30" ht="15.75" customHeight="1">
      <c r="A130" s="85"/>
      <c r="B130" s="48"/>
      <c r="C130" s="48"/>
      <c r="D130" s="48"/>
      <c r="E130" s="48"/>
      <c r="F130" s="48"/>
      <c r="G130" s="48"/>
      <c r="H130" s="48"/>
      <c r="I130" s="48"/>
      <c r="J130" s="48"/>
      <c r="K130" s="50"/>
      <c r="L130" s="48"/>
      <c r="M130" s="48"/>
      <c r="N130" s="50"/>
      <c r="O130" s="48"/>
      <c r="P130" s="48"/>
      <c r="Q130" s="48"/>
      <c r="R130" s="48"/>
      <c r="S130" s="48"/>
      <c r="T130" s="48"/>
      <c r="U130" s="48"/>
      <c r="V130" s="48"/>
      <c r="W130" s="48"/>
      <c r="X130" s="48"/>
      <c r="Y130" s="48"/>
      <c r="Z130" s="48"/>
      <c r="AA130" s="48"/>
      <c r="AB130" s="48"/>
      <c r="AC130" s="48"/>
      <c r="AD130" s="48"/>
    </row>
    <row r="131" spans="1:30" ht="15.75" customHeight="1">
      <c r="A131" s="85"/>
      <c r="B131" s="48"/>
      <c r="C131" s="48"/>
      <c r="D131" s="48"/>
      <c r="E131" s="48"/>
      <c r="F131" s="48"/>
      <c r="G131" s="48"/>
      <c r="H131" s="48"/>
      <c r="I131" s="48"/>
      <c r="J131" s="48"/>
      <c r="K131" s="50"/>
      <c r="L131" s="48"/>
      <c r="M131" s="48"/>
      <c r="N131" s="50"/>
      <c r="O131" s="48"/>
      <c r="P131" s="48"/>
      <c r="Q131" s="48"/>
      <c r="R131" s="48"/>
      <c r="S131" s="48"/>
      <c r="T131" s="48"/>
      <c r="U131" s="48"/>
      <c r="V131" s="48"/>
      <c r="W131" s="48"/>
      <c r="X131" s="48"/>
      <c r="Y131" s="48"/>
      <c r="Z131" s="48"/>
      <c r="AA131" s="48"/>
      <c r="AB131" s="48"/>
      <c r="AC131" s="48"/>
      <c r="AD131" s="48"/>
    </row>
    <row r="132" spans="1:30" ht="15.75" customHeight="1">
      <c r="A132" s="85"/>
      <c r="B132" s="48"/>
      <c r="C132" s="48"/>
      <c r="D132" s="48"/>
      <c r="E132" s="48"/>
      <c r="F132" s="48"/>
      <c r="G132" s="48"/>
      <c r="H132" s="48"/>
      <c r="I132" s="48"/>
      <c r="J132" s="48"/>
      <c r="K132" s="50"/>
      <c r="L132" s="48"/>
      <c r="M132" s="48"/>
      <c r="N132" s="50"/>
      <c r="O132" s="48"/>
      <c r="P132" s="48"/>
      <c r="Q132" s="48"/>
      <c r="R132" s="48"/>
      <c r="S132" s="48"/>
      <c r="T132" s="48"/>
      <c r="U132" s="48"/>
      <c r="V132" s="48"/>
      <c r="W132" s="48"/>
      <c r="X132" s="48"/>
      <c r="Y132" s="48"/>
      <c r="Z132" s="48"/>
      <c r="AA132" s="48"/>
      <c r="AB132" s="48"/>
      <c r="AC132" s="48"/>
      <c r="AD132" s="48"/>
    </row>
    <row r="133" spans="1:30" ht="15.75" customHeight="1">
      <c r="A133" s="85"/>
      <c r="B133" s="48"/>
      <c r="C133" s="48"/>
      <c r="D133" s="48"/>
      <c r="E133" s="48"/>
      <c r="F133" s="48"/>
      <c r="G133" s="48"/>
      <c r="H133" s="48"/>
      <c r="I133" s="48"/>
      <c r="J133" s="48"/>
      <c r="K133" s="50"/>
      <c r="L133" s="48"/>
      <c r="M133" s="48"/>
      <c r="N133" s="50"/>
      <c r="O133" s="48"/>
      <c r="P133" s="48"/>
      <c r="Q133" s="48"/>
      <c r="R133" s="48"/>
      <c r="S133" s="48"/>
      <c r="T133" s="48"/>
      <c r="U133" s="48"/>
      <c r="V133" s="48"/>
      <c r="W133" s="48"/>
      <c r="X133" s="48"/>
      <c r="Y133" s="48"/>
      <c r="Z133" s="48"/>
      <c r="AA133" s="48"/>
      <c r="AB133" s="48"/>
      <c r="AC133" s="48"/>
      <c r="AD133" s="48"/>
    </row>
    <row r="134" spans="1:30" ht="15.75" customHeight="1">
      <c r="A134" s="85"/>
      <c r="B134" s="48"/>
      <c r="C134" s="48"/>
      <c r="D134" s="48"/>
      <c r="E134" s="48"/>
      <c r="F134" s="48"/>
      <c r="G134" s="48"/>
      <c r="H134" s="48"/>
      <c r="I134" s="48"/>
      <c r="J134" s="48"/>
      <c r="K134" s="50"/>
      <c r="L134" s="48"/>
      <c r="M134" s="48"/>
      <c r="N134" s="50"/>
      <c r="O134" s="48"/>
      <c r="P134" s="48"/>
      <c r="Q134" s="48"/>
      <c r="R134" s="48"/>
      <c r="S134" s="48"/>
      <c r="T134" s="48"/>
      <c r="U134" s="48"/>
      <c r="V134" s="48"/>
      <c r="W134" s="48"/>
      <c r="X134" s="48"/>
      <c r="Y134" s="48"/>
      <c r="Z134" s="48"/>
      <c r="AA134" s="48"/>
      <c r="AB134" s="48"/>
      <c r="AC134" s="48"/>
      <c r="AD134" s="48"/>
    </row>
    <row r="135" spans="1:30" ht="15.75" customHeight="1">
      <c r="A135" s="85"/>
      <c r="B135" s="48"/>
      <c r="C135" s="48"/>
      <c r="D135" s="48"/>
      <c r="E135" s="48"/>
      <c r="F135" s="48"/>
      <c r="G135" s="48"/>
      <c r="H135" s="48"/>
      <c r="I135" s="48"/>
      <c r="J135" s="48"/>
      <c r="K135" s="50"/>
      <c r="L135" s="48"/>
      <c r="M135" s="48"/>
      <c r="N135" s="50"/>
      <c r="O135" s="48"/>
      <c r="P135" s="48"/>
      <c r="Q135" s="48"/>
      <c r="R135" s="48"/>
      <c r="S135" s="48"/>
      <c r="T135" s="48"/>
      <c r="U135" s="48"/>
      <c r="V135" s="48"/>
      <c r="W135" s="48"/>
      <c r="X135" s="48"/>
      <c r="Y135" s="48"/>
      <c r="Z135" s="48"/>
      <c r="AA135" s="48"/>
      <c r="AB135" s="48"/>
      <c r="AC135" s="48"/>
      <c r="AD135" s="48"/>
    </row>
    <row r="136" spans="1:30" ht="15.75" customHeight="1">
      <c r="A136" s="85"/>
      <c r="B136" s="48"/>
      <c r="C136" s="48"/>
      <c r="D136" s="48"/>
      <c r="E136" s="48"/>
      <c r="F136" s="48"/>
      <c r="G136" s="48"/>
      <c r="H136" s="48"/>
      <c r="I136" s="48"/>
      <c r="J136" s="48"/>
      <c r="K136" s="50"/>
      <c r="L136" s="48"/>
      <c r="M136" s="48"/>
      <c r="N136" s="50"/>
      <c r="O136" s="48"/>
      <c r="P136" s="48"/>
      <c r="Q136" s="48"/>
      <c r="R136" s="48"/>
      <c r="S136" s="48"/>
      <c r="T136" s="48"/>
      <c r="U136" s="48"/>
      <c r="V136" s="48"/>
      <c r="W136" s="48"/>
      <c r="X136" s="48"/>
      <c r="Y136" s="48"/>
      <c r="Z136" s="48"/>
      <c r="AA136" s="48"/>
      <c r="AB136" s="48"/>
      <c r="AC136" s="48"/>
      <c r="AD136" s="48"/>
    </row>
    <row r="137" spans="1:30" ht="15.75" customHeight="1">
      <c r="A137" s="85"/>
      <c r="B137" s="48"/>
      <c r="C137" s="48"/>
      <c r="D137" s="48"/>
      <c r="E137" s="48"/>
      <c r="F137" s="48"/>
      <c r="G137" s="48"/>
      <c r="H137" s="48"/>
      <c r="I137" s="48"/>
      <c r="J137" s="48"/>
      <c r="K137" s="50"/>
      <c r="L137" s="48"/>
      <c r="M137" s="48"/>
      <c r="N137" s="50"/>
      <c r="O137" s="48"/>
      <c r="P137" s="48"/>
      <c r="Q137" s="48"/>
      <c r="R137" s="48"/>
      <c r="S137" s="48"/>
      <c r="T137" s="48"/>
      <c r="U137" s="48"/>
      <c r="V137" s="48"/>
      <c r="W137" s="48"/>
      <c r="X137" s="48"/>
      <c r="Y137" s="48"/>
      <c r="Z137" s="48"/>
      <c r="AA137" s="48"/>
      <c r="AB137" s="48"/>
      <c r="AC137" s="48"/>
      <c r="AD137" s="48"/>
    </row>
    <row r="138" spans="1:30" ht="15.75" customHeight="1">
      <c r="A138" s="85"/>
      <c r="B138" s="48"/>
      <c r="C138" s="48"/>
      <c r="D138" s="48"/>
      <c r="E138" s="48"/>
      <c r="F138" s="48"/>
      <c r="G138" s="48"/>
      <c r="H138" s="48"/>
      <c r="I138" s="48"/>
      <c r="J138" s="48"/>
      <c r="K138" s="50"/>
      <c r="L138" s="48"/>
      <c r="M138" s="48"/>
      <c r="N138" s="50"/>
      <c r="O138" s="48"/>
      <c r="P138" s="48"/>
      <c r="Q138" s="48"/>
      <c r="R138" s="48"/>
      <c r="S138" s="48"/>
      <c r="T138" s="48"/>
      <c r="U138" s="48"/>
      <c r="V138" s="48"/>
      <c r="W138" s="48"/>
      <c r="X138" s="48"/>
      <c r="Y138" s="48"/>
      <c r="Z138" s="48"/>
      <c r="AA138" s="48"/>
      <c r="AB138" s="48"/>
      <c r="AC138" s="48"/>
      <c r="AD138" s="48"/>
    </row>
    <row r="139" spans="1:30" ht="15.75" customHeight="1">
      <c r="A139" s="85"/>
      <c r="B139" s="48"/>
      <c r="C139" s="48"/>
      <c r="D139" s="48"/>
      <c r="E139" s="48"/>
      <c r="F139" s="48"/>
      <c r="G139" s="48"/>
      <c r="H139" s="48"/>
      <c r="I139" s="48"/>
      <c r="J139" s="48"/>
      <c r="K139" s="50"/>
      <c r="L139" s="48"/>
      <c r="M139" s="48"/>
      <c r="N139" s="50"/>
      <c r="O139" s="48"/>
      <c r="P139" s="48"/>
      <c r="Q139" s="48"/>
      <c r="R139" s="48"/>
      <c r="S139" s="48"/>
      <c r="T139" s="48"/>
      <c r="U139" s="48"/>
      <c r="V139" s="48"/>
      <c r="W139" s="48"/>
      <c r="X139" s="48"/>
      <c r="Y139" s="48"/>
      <c r="Z139" s="48"/>
      <c r="AA139" s="48"/>
      <c r="AB139" s="48"/>
      <c r="AC139" s="48"/>
      <c r="AD139" s="48"/>
    </row>
    <row r="140" spans="1:30" ht="15.75" customHeight="1">
      <c r="A140" s="85"/>
      <c r="B140" s="48"/>
      <c r="C140" s="48"/>
      <c r="D140" s="48"/>
      <c r="E140" s="48"/>
      <c r="F140" s="48"/>
      <c r="G140" s="48"/>
      <c r="H140" s="48"/>
      <c r="I140" s="48"/>
      <c r="J140" s="48"/>
      <c r="K140" s="50"/>
      <c r="L140" s="48"/>
      <c r="M140" s="48"/>
      <c r="N140" s="50"/>
      <c r="O140" s="48"/>
      <c r="P140" s="48"/>
      <c r="Q140" s="48"/>
      <c r="R140" s="48"/>
      <c r="S140" s="48"/>
      <c r="T140" s="48"/>
      <c r="U140" s="48"/>
      <c r="V140" s="48"/>
      <c r="W140" s="48"/>
      <c r="X140" s="48"/>
      <c r="Y140" s="48"/>
      <c r="Z140" s="48"/>
      <c r="AA140" s="48"/>
      <c r="AB140" s="48"/>
      <c r="AC140" s="48"/>
      <c r="AD140" s="48"/>
    </row>
    <row r="141" spans="1:30" ht="15.75" customHeight="1">
      <c r="A141" s="85"/>
      <c r="B141" s="48"/>
      <c r="C141" s="48"/>
      <c r="D141" s="48"/>
      <c r="E141" s="48"/>
      <c r="F141" s="48"/>
      <c r="G141" s="48"/>
      <c r="H141" s="48"/>
      <c r="I141" s="48"/>
      <c r="J141" s="48"/>
      <c r="K141" s="50"/>
      <c r="L141" s="48"/>
      <c r="M141" s="48"/>
      <c r="N141" s="50"/>
      <c r="O141" s="48"/>
      <c r="P141" s="48"/>
      <c r="Q141" s="48"/>
      <c r="R141" s="48"/>
      <c r="S141" s="48"/>
      <c r="T141" s="48"/>
      <c r="U141" s="48"/>
      <c r="V141" s="48"/>
      <c r="W141" s="48"/>
      <c r="X141" s="48"/>
      <c r="Y141" s="48"/>
      <c r="Z141" s="48"/>
      <c r="AA141" s="48"/>
      <c r="AB141" s="48"/>
      <c r="AC141" s="48"/>
      <c r="AD141" s="48"/>
    </row>
    <row r="142" spans="1:30" ht="15.75" customHeight="1">
      <c r="A142" s="85"/>
      <c r="B142" s="48"/>
      <c r="C142" s="48"/>
      <c r="D142" s="48"/>
      <c r="E142" s="48"/>
      <c r="F142" s="48"/>
      <c r="G142" s="48"/>
      <c r="H142" s="48"/>
      <c r="I142" s="48"/>
      <c r="J142" s="48"/>
      <c r="K142" s="50"/>
      <c r="L142" s="48"/>
      <c r="M142" s="48"/>
      <c r="N142" s="50"/>
      <c r="O142" s="48"/>
      <c r="P142" s="48"/>
      <c r="Q142" s="48"/>
      <c r="R142" s="48"/>
      <c r="S142" s="48"/>
      <c r="T142" s="48"/>
      <c r="U142" s="48"/>
      <c r="V142" s="48"/>
      <c r="W142" s="48"/>
      <c r="X142" s="48"/>
      <c r="Y142" s="48"/>
      <c r="Z142" s="48"/>
      <c r="AA142" s="48"/>
      <c r="AB142" s="48"/>
      <c r="AC142" s="48"/>
      <c r="AD142" s="48"/>
    </row>
    <row r="143" spans="1:30" ht="15.75" customHeight="1">
      <c r="A143" s="85"/>
      <c r="B143" s="48"/>
      <c r="C143" s="48"/>
      <c r="D143" s="48"/>
      <c r="E143" s="48"/>
      <c r="F143" s="48"/>
      <c r="G143" s="48"/>
      <c r="H143" s="48"/>
      <c r="I143" s="48"/>
      <c r="J143" s="48"/>
      <c r="K143" s="50"/>
      <c r="L143" s="48"/>
      <c r="M143" s="48"/>
      <c r="N143" s="50"/>
      <c r="O143" s="48"/>
      <c r="P143" s="48"/>
      <c r="Q143" s="48"/>
      <c r="R143" s="48"/>
      <c r="S143" s="48"/>
      <c r="T143" s="48"/>
      <c r="U143" s="48"/>
      <c r="V143" s="48"/>
      <c r="W143" s="48"/>
      <c r="X143" s="48"/>
      <c r="Y143" s="48"/>
      <c r="Z143" s="48"/>
      <c r="AA143" s="48"/>
      <c r="AB143" s="48"/>
      <c r="AC143" s="48"/>
      <c r="AD143" s="48"/>
    </row>
    <row r="144" spans="1:30" ht="15.75" customHeight="1">
      <c r="A144" s="85"/>
      <c r="B144" s="48"/>
      <c r="C144" s="48"/>
      <c r="D144" s="48"/>
      <c r="E144" s="48"/>
      <c r="F144" s="48"/>
      <c r="G144" s="48"/>
      <c r="H144" s="48"/>
      <c r="I144" s="48"/>
      <c r="J144" s="48"/>
      <c r="K144" s="50"/>
      <c r="L144" s="48"/>
      <c r="M144" s="48"/>
      <c r="N144" s="50"/>
      <c r="O144" s="48"/>
      <c r="P144" s="48"/>
      <c r="Q144" s="48"/>
      <c r="R144" s="48"/>
      <c r="S144" s="48"/>
      <c r="T144" s="48"/>
      <c r="U144" s="48"/>
      <c r="V144" s="48"/>
      <c r="W144" s="48"/>
      <c r="X144" s="48"/>
      <c r="Y144" s="48"/>
      <c r="Z144" s="48"/>
      <c r="AA144" s="48"/>
      <c r="AB144" s="48"/>
      <c r="AC144" s="48"/>
      <c r="AD144" s="48"/>
    </row>
    <row r="145" spans="1:30" ht="15.75" customHeight="1">
      <c r="A145" s="85"/>
      <c r="B145" s="48"/>
      <c r="C145" s="48"/>
      <c r="D145" s="48"/>
      <c r="E145" s="48"/>
      <c r="F145" s="48"/>
      <c r="G145" s="48"/>
      <c r="H145" s="48"/>
      <c r="I145" s="48"/>
      <c r="J145" s="48"/>
      <c r="K145" s="50"/>
      <c r="L145" s="48"/>
      <c r="M145" s="48"/>
      <c r="N145" s="50"/>
      <c r="O145" s="48"/>
      <c r="P145" s="48"/>
      <c r="Q145" s="48"/>
      <c r="R145" s="48"/>
      <c r="S145" s="48"/>
      <c r="T145" s="48"/>
      <c r="U145" s="48"/>
      <c r="V145" s="48"/>
      <c r="W145" s="48"/>
      <c r="X145" s="48"/>
      <c r="Y145" s="48"/>
      <c r="Z145" s="48"/>
      <c r="AA145" s="48"/>
      <c r="AB145" s="48"/>
      <c r="AC145" s="48"/>
      <c r="AD145" s="48"/>
    </row>
    <row r="146" spans="1:30" ht="15.75" customHeight="1">
      <c r="A146" s="85"/>
      <c r="B146" s="48"/>
      <c r="C146" s="48"/>
      <c r="D146" s="48"/>
      <c r="E146" s="48"/>
      <c r="F146" s="48"/>
      <c r="G146" s="48"/>
      <c r="H146" s="48"/>
      <c r="I146" s="48"/>
      <c r="J146" s="48"/>
      <c r="K146" s="50"/>
      <c r="L146" s="48"/>
      <c r="M146" s="48"/>
      <c r="N146" s="50"/>
      <c r="O146" s="48"/>
      <c r="P146" s="48"/>
      <c r="Q146" s="48"/>
      <c r="R146" s="48"/>
      <c r="S146" s="48"/>
      <c r="T146" s="48"/>
      <c r="U146" s="48"/>
      <c r="V146" s="48"/>
      <c r="W146" s="48"/>
      <c r="X146" s="48"/>
      <c r="Y146" s="48"/>
      <c r="Z146" s="48"/>
      <c r="AA146" s="48"/>
      <c r="AB146" s="48"/>
      <c r="AC146" s="48"/>
      <c r="AD146" s="48"/>
    </row>
    <row r="147" spans="1:30" ht="15.75" customHeight="1">
      <c r="A147" s="85"/>
      <c r="B147" s="48"/>
      <c r="C147" s="48"/>
      <c r="D147" s="48"/>
      <c r="E147" s="48"/>
      <c r="F147" s="48"/>
      <c r="G147" s="48"/>
      <c r="H147" s="48"/>
      <c r="I147" s="48"/>
      <c r="J147" s="48"/>
      <c r="K147" s="50"/>
      <c r="L147" s="48"/>
      <c r="M147" s="48"/>
      <c r="N147" s="50"/>
      <c r="O147" s="48"/>
      <c r="P147" s="48"/>
      <c r="Q147" s="48"/>
      <c r="R147" s="48"/>
      <c r="S147" s="48"/>
      <c r="T147" s="48"/>
      <c r="U147" s="48"/>
      <c r="V147" s="48"/>
      <c r="W147" s="48"/>
      <c r="X147" s="48"/>
      <c r="Y147" s="48"/>
      <c r="Z147" s="48"/>
      <c r="AA147" s="48"/>
      <c r="AB147" s="48"/>
      <c r="AC147" s="48"/>
      <c r="AD147" s="48"/>
    </row>
    <row r="148" spans="1:30" ht="15.75" customHeight="1">
      <c r="A148" s="85"/>
      <c r="B148" s="48"/>
      <c r="C148" s="48"/>
      <c r="D148" s="48"/>
      <c r="E148" s="48"/>
      <c r="F148" s="48"/>
      <c r="G148" s="48"/>
      <c r="H148" s="48"/>
      <c r="I148" s="48"/>
      <c r="J148" s="48"/>
      <c r="K148" s="50"/>
      <c r="L148" s="48"/>
      <c r="M148" s="48"/>
      <c r="N148" s="50"/>
      <c r="O148" s="48"/>
      <c r="P148" s="48"/>
      <c r="Q148" s="48"/>
      <c r="R148" s="48"/>
      <c r="S148" s="48"/>
      <c r="T148" s="48"/>
      <c r="U148" s="48"/>
      <c r="V148" s="48"/>
      <c r="W148" s="48"/>
      <c r="X148" s="48"/>
      <c r="Y148" s="48"/>
      <c r="Z148" s="48"/>
      <c r="AA148" s="48"/>
      <c r="AB148" s="48"/>
      <c r="AC148" s="48"/>
      <c r="AD148" s="48"/>
    </row>
    <row r="149" spans="1:30" ht="15.75" customHeight="1">
      <c r="A149" s="85"/>
      <c r="B149" s="48"/>
      <c r="C149" s="48"/>
      <c r="D149" s="48"/>
      <c r="E149" s="48"/>
      <c r="F149" s="48"/>
      <c r="G149" s="48"/>
      <c r="H149" s="48"/>
      <c r="I149" s="48"/>
      <c r="J149" s="48"/>
      <c r="K149" s="50"/>
      <c r="L149" s="48"/>
      <c r="M149" s="48"/>
      <c r="N149" s="50"/>
      <c r="O149" s="48"/>
      <c r="P149" s="48"/>
      <c r="Q149" s="48"/>
      <c r="R149" s="48"/>
      <c r="S149" s="48"/>
      <c r="T149" s="48"/>
      <c r="U149" s="48"/>
      <c r="V149" s="48"/>
      <c r="W149" s="48"/>
      <c r="X149" s="48"/>
      <c r="Y149" s="48"/>
      <c r="Z149" s="48"/>
      <c r="AA149" s="48"/>
      <c r="AB149" s="48"/>
      <c r="AC149" s="48"/>
      <c r="AD149" s="48"/>
    </row>
    <row r="150" spans="1:30" ht="15.75" customHeight="1">
      <c r="A150" s="85"/>
      <c r="B150" s="48"/>
      <c r="C150" s="48"/>
      <c r="D150" s="48"/>
      <c r="E150" s="48"/>
      <c r="F150" s="48"/>
      <c r="G150" s="48"/>
      <c r="H150" s="48"/>
      <c r="I150" s="48"/>
      <c r="J150" s="48"/>
      <c r="K150" s="50"/>
      <c r="L150" s="48"/>
      <c r="M150" s="48"/>
      <c r="N150" s="50"/>
      <c r="O150" s="48"/>
      <c r="P150" s="48"/>
      <c r="Q150" s="48"/>
      <c r="R150" s="48"/>
      <c r="S150" s="48"/>
      <c r="T150" s="48"/>
      <c r="U150" s="48"/>
      <c r="V150" s="48"/>
      <c r="W150" s="48"/>
      <c r="X150" s="48"/>
      <c r="Y150" s="48"/>
      <c r="Z150" s="48"/>
      <c r="AA150" s="48"/>
      <c r="AB150" s="48"/>
      <c r="AC150" s="48"/>
      <c r="AD150" s="48"/>
    </row>
    <row r="151" spans="1:30" ht="15.75" customHeight="1">
      <c r="A151" s="85"/>
      <c r="B151" s="48"/>
      <c r="C151" s="48"/>
      <c r="D151" s="48"/>
      <c r="E151" s="48"/>
      <c r="F151" s="48"/>
      <c r="G151" s="48"/>
      <c r="H151" s="48"/>
      <c r="I151" s="48"/>
      <c r="J151" s="48"/>
      <c r="K151" s="50"/>
      <c r="L151" s="48"/>
      <c r="M151" s="48"/>
      <c r="N151" s="50"/>
      <c r="O151" s="48"/>
      <c r="P151" s="48"/>
      <c r="Q151" s="48"/>
      <c r="R151" s="48"/>
      <c r="S151" s="48"/>
      <c r="T151" s="48"/>
      <c r="U151" s="48"/>
      <c r="V151" s="48"/>
      <c r="W151" s="48"/>
      <c r="X151" s="48"/>
      <c r="Y151" s="48"/>
      <c r="Z151" s="48"/>
      <c r="AA151" s="48"/>
      <c r="AB151" s="48"/>
      <c r="AC151" s="48"/>
      <c r="AD151" s="48"/>
    </row>
    <row r="152" spans="1:30" ht="15.75" customHeight="1">
      <c r="A152" s="85"/>
      <c r="B152" s="48"/>
      <c r="C152" s="48"/>
      <c r="D152" s="48"/>
      <c r="E152" s="48"/>
      <c r="F152" s="48"/>
      <c r="G152" s="48"/>
      <c r="H152" s="48"/>
      <c r="I152" s="48"/>
      <c r="J152" s="48"/>
      <c r="K152" s="50"/>
      <c r="L152" s="48"/>
      <c r="M152" s="48"/>
      <c r="N152" s="50"/>
      <c r="O152" s="48"/>
      <c r="P152" s="48"/>
      <c r="Q152" s="48"/>
      <c r="R152" s="48"/>
      <c r="S152" s="48"/>
      <c r="T152" s="48"/>
      <c r="U152" s="48"/>
      <c r="V152" s="48"/>
      <c r="W152" s="48"/>
      <c r="X152" s="48"/>
      <c r="Y152" s="48"/>
      <c r="Z152" s="48"/>
      <c r="AA152" s="48"/>
      <c r="AB152" s="48"/>
      <c r="AC152" s="48"/>
      <c r="AD152" s="48"/>
    </row>
    <row r="153" spans="1:30" ht="15.75" customHeight="1">
      <c r="A153" s="85"/>
      <c r="B153" s="48"/>
      <c r="C153" s="48"/>
      <c r="D153" s="48"/>
      <c r="E153" s="48"/>
      <c r="F153" s="48"/>
      <c r="G153" s="48"/>
      <c r="H153" s="48"/>
      <c r="I153" s="48"/>
      <c r="J153" s="48"/>
      <c r="K153" s="50"/>
      <c r="L153" s="48"/>
      <c r="M153" s="48"/>
      <c r="N153" s="50"/>
      <c r="O153" s="48"/>
      <c r="P153" s="48"/>
      <c r="Q153" s="48"/>
      <c r="R153" s="48"/>
      <c r="S153" s="48"/>
      <c r="T153" s="48"/>
      <c r="U153" s="48"/>
      <c r="V153" s="48"/>
      <c r="W153" s="48"/>
      <c r="X153" s="48"/>
      <c r="Y153" s="48"/>
      <c r="Z153" s="48"/>
      <c r="AA153" s="48"/>
      <c r="AB153" s="48"/>
      <c r="AC153" s="48"/>
      <c r="AD153" s="48"/>
    </row>
    <row r="154" spans="1:30" ht="15.75" customHeight="1">
      <c r="A154" s="85"/>
      <c r="B154" s="48"/>
      <c r="C154" s="48"/>
      <c r="D154" s="48"/>
      <c r="E154" s="48"/>
      <c r="F154" s="48"/>
      <c r="G154" s="48"/>
      <c r="H154" s="48"/>
      <c r="I154" s="48"/>
      <c r="J154" s="48"/>
      <c r="K154" s="50"/>
      <c r="L154" s="48"/>
      <c r="M154" s="48"/>
      <c r="N154" s="50"/>
      <c r="O154" s="48"/>
      <c r="P154" s="48"/>
      <c r="Q154" s="48"/>
      <c r="R154" s="48"/>
      <c r="S154" s="48"/>
      <c r="T154" s="48"/>
      <c r="U154" s="48"/>
      <c r="V154" s="48"/>
      <c r="W154" s="48"/>
      <c r="X154" s="48"/>
      <c r="Y154" s="48"/>
      <c r="Z154" s="48"/>
      <c r="AA154" s="48"/>
      <c r="AB154" s="48"/>
      <c r="AC154" s="48"/>
      <c r="AD154" s="48"/>
    </row>
    <row r="155" spans="1:30" ht="15.75" customHeight="1">
      <c r="A155" s="85"/>
      <c r="B155" s="48"/>
      <c r="C155" s="48"/>
      <c r="D155" s="48"/>
      <c r="E155" s="48"/>
      <c r="F155" s="48"/>
      <c r="G155" s="48"/>
      <c r="H155" s="48"/>
      <c r="I155" s="48"/>
      <c r="J155" s="48"/>
      <c r="K155" s="50"/>
      <c r="L155" s="48"/>
      <c r="M155" s="48"/>
      <c r="N155" s="50"/>
      <c r="O155" s="48"/>
      <c r="P155" s="48"/>
      <c r="Q155" s="48"/>
      <c r="R155" s="48"/>
      <c r="S155" s="48"/>
      <c r="T155" s="48"/>
      <c r="U155" s="48"/>
      <c r="V155" s="48"/>
      <c r="W155" s="48"/>
      <c r="X155" s="48"/>
      <c r="Y155" s="48"/>
      <c r="Z155" s="48"/>
      <c r="AA155" s="48"/>
      <c r="AB155" s="48"/>
      <c r="AC155" s="48"/>
      <c r="AD155" s="48"/>
    </row>
    <row r="156" spans="1:30" ht="15.75" customHeight="1">
      <c r="A156" s="85"/>
      <c r="B156" s="48"/>
      <c r="C156" s="48"/>
      <c r="D156" s="48"/>
      <c r="E156" s="48"/>
      <c r="F156" s="48"/>
      <c r="G156" s="48"/>
      <c r="H156" s="48"/>
      <c r="I156" s="48"/>
      <c r="J156" s="48"/>
      <c r="K156" s="50"/>
      <c r="L156" s="48"/>
      <c r="M156" s="48"/>
      <c r="N156" s="50"/>
      <c r="O156" s="48"/>
      <c r="P156" s="48"/>
      <c r="Q156" s="48"/>
      <c r="R156" s="48"/>
      <c r="S156" s="48"/>
      <c r="T156" s="48"/>
      <c r="U156" s="48"/>
      <c r="V156" s="48"/>
      <c r="W156" s="48"/>
      <c r="X156" s="48"/>
      <c r="Y156" s="48"/>
      <c r="Z156" s="48"/>
      <c r="AA156" s="48"/>
      <c r="AB156" s="48"/>
      <c r="AC156" s="48"/>
      <c r="AD156" s="48"/>
    </row>
    <row r="157" spans="1:30" ht="15.75" customHeight="1">
      <c r="A157" s="85"/>
      <c r="B157" s="48"/>
      <c r="C157" s="48"/>
      <c r="D157" s="48"/>
      <c r="E157" s="48"/>
      <c r="F157" s="48"/>
      <c r="G157" s="48"/>
      <c r="H157" s="48"/>
      <c r="I157" s="48"/>
      <c r="J157" s="48"/>
      <c r="K157" s="50"/>
      <c r="L157" s="48"/>
      <c r="M157" s="48"/>
      <c r="N157" s="50"/>
      <c r="O157" s="48"/>
      <c r="P157" s="48"/>
      <c r="Q157" s="48"/>
      <c r="R157" s="48"/>
      <c r="S157" s="48"/>
      <c r="T157" s="48"/>
      <c r="U157" s="48"/>
      <c r="V157" s="48"/>
      <c r="W157" s="48"/>
      <c r="X157" s="48"/>
      <c r="Y157" s="48"/>
      <c r="Z157" s="48"/>
      <c r="AA157" s="48"/>
      <c r="AB157" s="48"/>
      <c r="AC157" s="48"/>
      <c r="AD157" s="48"/>
    </row>
    <row r="158" spans="1:30" ht="15.75" customHeight="1">
      <c r="A158" s="85"/>
      <c r="B158" s="48"/>
      <c r="C158" s="48"/>
      <c r="D158" s="48"/>
      <c r="E158" s="48"/>
      <c r="F158" s="48"/>
      <c r="G158" s="48"/>
      <c r="H158" s="48"/>
      <c r="I158" s="48"/>
      <c r="J158" s="48"/>
      <c r="K158" s="50"/>
      <c r="L158" s="48"/>
      <c r="M158" s="48"/>
      <c r="N158" s="50"/>
      <c r="O158" s="48"/>
      <c r="P158" s="48"/>
      <c r="Q158" s="48"/>
      <c r="R158" s="48"/>
      <c r="S158" s="48"/>
      <c r="T158" s="48"/>
      <c r="U158" s="48"/>
      <c r="V158" s="48"/>
      <c r="W158" s="48"/>
      <c r="X158" s="48"/>
      <c r="Y158" s="48"/>
      <c r="Z158" s="48"/>
      <c r="AA158" s="48"/>
      <c r="AB158" s="48"/>
      <c r="AC158" s="48"/>
      <c r="AD158" s="48"/>
    </row>
    <row r="159" spans="1:30" ht="15.75" customHeight="1">
      <c r="A159" s="85"/>
      <c r="B159" s="48"/>
      <c r="C159" s="48"/>
      <c r="D159" s="48"/>
      <c r="E159" s="48"/>
      <c r="F159" s="48"/>
      <c r="G159" s="48"/>
      <c r="H159" s="48"/>
      <c r="I159" s="48"/>
      <c r="J159" s="48"/>
      <c r="K159" s="50"/>
      <c r="L159" s="48"/>
      <c r="M159" s="48"/>
      <c r="N159" s="50"/>
      <c r="O159" s="48"/>
      <c r="P159" s="48"/>
      <c r="Q159" s="48"/>
      <c r="R159" s="48"/>
      <c r="S159" s="48"/>
      <c r="T159" s="48"/>
      <c r="U159" s="48"/>
      <c r="V159" s="48"/>
      <c r="W159" s="48"/>
      <c r="X159" s="48"/>
      <c r="Y159" s="48"/>
      <c r="Z159" s="48"/>
      <c r="AA159" s="48"/>
      <c r="AB159" s="48"/>
      <c r="AC159" s="48"/>
      <c r="AD159" s="48"/>
    </row>
    <row r="160" spans="1:30" ht="15.75" customHeight="1">
      <c r="A160" s="85"/>
      <c r="B160" s="48"/>
      <c r="C160" s="48"/>
      <c r="D160" s="48"/>
      <c r="E160" s="48"/>
      <c r="F160" s="48"/>
      <c r="G160" s="48"/>
      <c r="H160" s="48"/>
      <c r="I160" s="48"/>
      <c r="J160" s="48"/>
      <c r="K160" s="50"/>
      <c r="L160" s="48"/>
      <c r="M160" s="48"/>
      <c r="N160" s="50"/>
      <c r="O160" s="48"/>
      <c r="P160" s="48"/>
      <c r="Q160" s="48"/>
      <c r="R160" s="48"/>
      <c r="S160" s="48"/>
      <c r="T160" s="48"/>
      <c r="U160" s="48"/>
      <c r="V160" s="48"/>
      <c r="W160" s="48"/>
      <c r="X160" s="48"/>
      <c r="Y160" s="48"/>
      <c r="Z160" s="48"/>
      <c r="AA160" s="48"/>
      <c r="AB160" s="48"/>
      <c r="AC160" s="48"/>
      <c r="AD160" s="48"/>
    </row>
    <row r="161" spans="1:30" ht="15.75" customHeight="1">
      <c r="A161" s="85"/>
      <c r="B161" s="48"/>
      <c r="C161" s="48"/>
      <c r="D161" s="48"/>
      <c r="E161" s="48"/>
      <c r="F161" s="48"/>
      <c r="G161" s="48"/>
      <c r="H161" s="48"/>
      <c r="I161" s="48"/>
      <c r="J161" s="48"/>
      <c r="K161" s="50"/>
      <c r="L161" s="48"/>
      <c r="M161" s="48"/>
      <c r="N161" s="50"/>
      <c r="O161" s="48"/>
      <c r="P161" s="48"/>
      <c r="Q161" s="48"/>
      <c r="R161" s="48"/>
      <c r="S161" s="48"/>
      <c r="T161" s="48"/>
      <c r="U161" s="48"/>
      <c r="V161" s="48"/>
      <c r="W161" s="48"/>
      <c r="X161" s="48"/>
      <c r="Y161" s="48"/>
      <c r="Z161" s="48"/>
      <c r="AA161" s="48"/>
      <c r="AB161" s="48"/>
      <c r="AC161" s="48"/>
      <c r="AD161" s="48"/>
    </row>
    <row r="162" spans="1:30" ht="15.75" customHeight="1">
      <c r="A162" s="85"/>
      <c r="B162" s="48"/>
      <c r="C162" s="48"/>
      <c r="D162" s="48"/>
      <c r="E162" s="48"/>
      <c r="F162" s="48"/>
      <c r="G162" s="48"/>
      <c r="H162" s="48"/>
      <c r="I162" s="48"/>
      <c r="J162" s="48"/>
      <c r="K162" s="50"/>
      <c r="L162" s="48"/>
      <c r="M162" s="48"/>
      <c r="N162" s="50"/>
      <c r="O162" s="48"/>
      <c r="P162" s="48"/>
      <c r="Q162" s="48"/>
      <c r="R162" s="48"/>
      <c r="S162" s="48"/>
      <c r="T162" s="48"/>
      <c r="U162" s="48"/>
      <c r="V162" s="48"/>
      <c r="W162" s="48"/>
      <c r="X162" s="48"/>
      <c r="Y162" s="48"/>
      <c r="Z162" s="48"/>
      <c r="AA162" s="48"/>
      <c r="AB162" s="48"/>
      <c r="AC162" s="48"/>
      <c r="AD162" s="48"/>
    </row>
    <row r="163" spans="1:30" ht="15.75" customHeight="1">
      <c r="A163" s="85"/>
      <c r="B163" s="48"/>
      <c r="C163" s="48"/>
      <c r="D163" s="48"/>
      <c r="E163" s="48"/>
      <c r="F163" s="48"/>
      <c r="G163" s="48"/>
      <c r="H163" s="48"/>
      <c r="I163" s="48"/>
      <c r="J163" s="48"/>
      <c r="K163" s="50"/>
      <c r="L163" s="48"/>
      <c r="M163" s="48"/>
      <c r="N163" s="50"/>
      <c r="O163" s="48"/>
      <c r="P163" s="48"/>
      <c r="Q163" s="48"/>
      <c r="R163" s="48"/>
      <c r="S163" s="48"/>
      <c r="T163" s="48"/>
      <c r="U163" s="48"/>
      <c r="V163" s="48"/>
      <c r="W163" s="48"/>
      <c r="X163" s="48"/>
      <c r="Y163" s="48"/>
      <c r="Z163" s="48"/>
      <c r="AA163" s="48"/>
      <c r="AB163" s="48"/>
      <c r="AC163" s="48"/>
      <c r="AD163" s="48"/>
    </row>
    <row r="164" spans="1:30" ht="15.75" customHeight="1">
      <c r="A164" s="85"/>
      <c r="B164" s="48"/>
      <c r="C164" s="48"/>
      <c r="D164" s="48"/>
      <c r="E164" s="48"/>
      <c r="F164" s="48"/>
      <c r="G164" s="48"/>
      <c r="H164" s="48"/>
      <c r="I164" s="48"/>
      <c r="J164" s="48"/>
      <c r="K164" s="50"/>
      <c r="L164" s="48"/>
      <c r="M164" s="48"/>
      <c r="N164" s="50"/>
      <c r="O164" s="48"/>
      <c r="P164" s="48"/>
      <c r="Q164" s="48"/>
      <c r="R164" s="48"/>
      <c r="S164" s="48"/>
      <c r="T164" s="48"/>
      <c r="U164" s="48"/>
      <c r="V164" s="48"/>
      <c r="W164" s="48"/>
      <c r="X164" s="48"/>
      <c r="Y164" s="48"/>
      <c r="Z164" s="48"/>
      <c r="AA164" s="48"/>
      <c r="AB164" s="48"/>
      <c r="AC164" s="48"/>
      <c r="AD164" s="48"/>
    </row>
    <row r="165" spans="1:30" ht="15.75" customHeight="1">
      <c r="A165" s="85"/>
      <c r="B165" s="48"/>
      <c r="C165" s="48"/>
      <c r="D165" s="48"/>
      <c r="E165" s="48"/>
      <c r="F165" s="48"/>
      <c r="G165" s="48"/>
      <c r="H165" s="48"/>
      <c r="I165" s="48"/>
      <c r="J165" s="48"/>
      <c r="K165" s="50"/>
      <c r="L165" s="48"/>
      <c r="M165" s="48"/>
      <c r="N165" s="50"/>
      <c r="O165" s="48"/>
      <c r="P165" s="48"/>
      <c r="Q165" s="48"/>
      <c r="R165" s="48"/>
      <c r="S165" s="48"/>
      <c r="T165" s="48"/>
      <c r="U165" s="48"/>
      <c r="V165" s="48"/>
      <c r="W165" s="48"/>
      <c r="X165" s="48"/>
      <c r="Y165" s="48"/>
      <c r="Z165" s="48"/>
      <c r="AA165" s="48"/>
      <c r="AB165" s="48"/>
      <c r="AC165" s="48"/>
      <c r="AD165" s="48"/>
    </row>
    <row r="166" spans="1:30" ht="15.75" customHeight="1">
      <c r="A166" s="85"/>
      <c r="B166" s="48"/>
      <c r="C166" s="48"/>
      <c r="D166" s="48"/>
      <c r="E166" s="48"/>
      <c r="F166" s="48"/>
      <c r="G166" s="48"/>
      <c r="H166" s="48"/>
      <c r="I166" s="48"/>
      <c r="J166" s="48"/>
      <c r="K166" s="50"/>
      <c r="L166" s="48"/>
      <c r="M166" s="48"/>
      <c r="N166" s="50"/>
      <c r="O166" s="48"/>
      <c r="P166" s="48"/>
      <c r="Q166" s="48"/>
      <c r="R166" s="48"/>
      <c r="S166" s="48"/>
      <c r="T166" s="48"/>
      <c r="U166" s="48"/>
      <c r="V166" s="48"/>
      <c r="W166" s="48"/>
      <c r="X166" s="48"/>
      <c r="Y166" s="48"/>
      <c r="Z166" s="48"/>
      <c r="AA166" s="48"/>
      <c r="AB166" s="48"/>
      <c r="AC166" s="48"/>
      <c r="AD166" s="48"/>
    </row>
    <row r="167" spans="1:30" ht="15.75" customHeight="1">
      <c r="A167" s="85"/>
      <c r="B167" s="48"/>
      <c r="C167" s="48"/>
      <c r="D167" s="48"/>
      <c r="E167" s="48"/>
      <c r="F167" s="48"/>
      <c r="G167" s="48"/>
      <c r="H167" s="48"/>
      <c r="I167" s="48"/>
      <c r="J167" s="48"/>
      <c r="K167" s="50"/>
      <c r="L167" s="48"/>
      <c r="M167" s="48"/>
      <c r="N167" s="50"/>
      <c r="O167" s="48"/>
      <c r="P167" s="48"/>
      <c r="Q167" s="48"/>
      <c r="R167" s="48"/>
      <c r="S167" s="48"/>
      <c r="T167" s="48"/>
      <c r="U167" s="48"/>
      <c r="V167" s="48"/>
      <c r="W167" s="48"/>
      <c r="X167" s="48"/>
      <c r="Y167" s="48"/>
      <c r="Z167" s="48"/>
      <c r="AA167" s="48"/>
      <c r="AB167" s="48"/>
      <c r="AC167" s="48"/>
      <c r="AD167" s="48"/>
    </row>
    <row r="168" spans="1:30" ht="15.75" customHeight="1">
      <c r="A168" s="85"/>
      <c r="B168" s="48"/>
      <c r="C168" s="48"/>
      <c r="D168" s="48"/>
      <c r="E168" s="48"/>
      <c r="F168" s="48"/>
      <c r="G168" s="48"/>
      <c r="H168" s="48"/>
      <c r="I168" s="48"/>
      <c r="J168" s="48"/>
      <c r="K168" s="50"/>
      <c r="L168" s="48"/>
      <c r="M168" s="48"/>
      <c r="N168" s="50"/>
      <c r="O168" s="48"/>
      <c r="P168" s="48"/>
      <c r="Q168" s="48"/>
      <c r="R168" s="48"/>
      <c r="S168" s="48"/>
      <c r="T168" s="48"/>
      <c r="U168" s="48"/>
      <c r="V168" s="48"/>
      <c r="W168" s="48"/>
      <c r="X168" s="48"/>
      <c r="Y168" s="48"/>
      <c r="Z168" s="48"/>
      <c r="AA168" s="48"/>
      <c r="AB168" s="48"/>
      <c r="AC168" s="48"/>
      <c r="AD168" s="48"/>
    </row>
    <row r="169" spans="1:30" ht="15.75" customHeight="1">
      <c r="A169" s="85"/>
      <c r="B169" s="48"/>
      <c r="C169" s="48"/>
      <c r="D169" s="48"/>
      <c r="E169" s="48"/>
      <c r="F169" s="48"/>
      <c r="G169" s="48"/>
      <c r="H169" s="48"/>
      <c r="I169" s="48"/>
      <c r="J169" s="48"/>
      <c r="K169" s="50"/>
      <c r="L169" s="48"/>
      <c r="M169" s="48"/>
      <c r="N169" s="50"/>
      <c r="O169" s="48"/>
      <c r="P169" s="48"/>
      <c r="Q169" s="48"/>
      <c r="R169" s="48"/>
      <c r="S169" s="48"/>
      <c r="T169" s="48"/>
      <c r="U169" s="48"/>
      <c r="V169" s="48"/>
      <c r="W169" s="48"/>
      <c r="X169" s="48"/>
      <c r="Y169" s="48"/>
      <c r="Z169" s="48"/>
      <c r="AA169" s="48"/>
      <c r="AB169" s="48"/>
      <c r="AC169" s="48"/>
      <c r="AD169" s="48"/>
    </row>
    <row r="170" spans="1:30" ht="15.75" customHeight="1">
      <c r="A170" s="85"/>
      <c r="B170" s="48"/>
      <c r="C170" s="48"/>
      <c r="D170" s="48"/>
      <c r="E170" s="48"/>
      <c r="F170" s="48"/>
      <c r="G170" s="48"/>
      <c r="H170" s="48"/>
      <c r="I170" s="48"/>
      <c r="J170" s="48"/>
      <c r="K170" s="50"/>
      <c r="L170" s="48"/>
      <c r="M170" s="48"/>
      <c r="N170" s="50"/>
      <c r="O170" s="48"/>
      <c r="P170" s="48"/>
      <c r="Q170" s="48"/>
      <c r="R170" s="48"/>
      <c r="S170" s="48"/>
      <c r="T170" s="48"/>
      <c r="U170" s="48"/>
      <c r="V170" s="48"/>
      <c r="W170" s="48"/>
      <c r="X170" s="48"/>
      <c r="Y170" s="48"/>
      <c r="Z170" s="48"/>
      <c r="AA170" s="48"/>
      <c r="AB170" s="48"/>
      <c r="AC170" s="48"/>
      <c r="AD170" s="48"/>
    </row>
    <row r="171" spans="1:30" ht="15.75" customHeight="1">
      <c r="A171" s="85"/>
      <c r="B171" s="48"/>
      <c r="C171" s="48"/>
      <c r="D171" s="48"/>
      <c r="E171" s="48"/>
      <c r="F171" s="48"/>
      <c r="G171" s="48"/>
      <c r="H171" s="48"/>
      <c r="I171" s="48"/>
      <c r="J171" s="48"/>
      <c r="K171" s="50"/>
      <c r="L171" s="48"/>
      <c r="M171" s="48"/>
      <c r="N171" s="50"/>
      <c r="O171" s="48"/>
      <c r="P171" s="48"/>
      <c r="Q171" s="48"/>
      <c r="R171" s="48"/>
      <c r="S171" s="48"/>
      <c r="T171" s="48"/>
      <c r="U171" s="48"/>
      <c r="V171" s="48"/>
      <c r="W171" s="48"/>
      <c r="X171" s="48"/>
      <c r="Y171" s="48"/>
      <c r="Z171" s="48"/>
      <c r="AA171" s="48"/>
      <c r="AB171" s="48"/>
      <c r="AC171" s="48"/>
      <c r="AD171" s="48"/>
    </row>
    <row r="172" spans="1:30" ht="15.75" customHeight="1">
      <c r="A172" s="85"/>
      <c r="B172" s="48"/>
      <c r="C172" s="48"/>
      <c r="D172" s="48"/>
      <c r="E172" s="48"/>
      <c r="F172" s="48"/>
      <c r="G172" s="48"/>
      <c r="H172" s="48"/>
      <c r="I172" s="48"/>
      <c r="J172" s="48"/>
      <c r="K172" s="50"/>
      <c r="L172" s="48"/>
      <c r="M172" s="48"/>
      <c r="N172" s="50"/>
      <c r="O172" s="48"/>
      <c r="P172" s="48"/>
      <c r="Q172" s="48"/>
      <c r="R172" s="48"/>
      <c r="S172" s="48"/>
      <c r="T172" s="48"/>
      <c r="U172" s="48"/>
      <c r="V172" s="48"/>
      <c r="W172" s="48"/>
      <c r="X172" s="48"/>
      <c r="Y172" s="48"/>
      <c r="Z172" s="48"/>
      <c r="AA172" s="48"/>
      <c r="AB172" s="48"/>
      <c r="AC172" s="48"/>
      <c r="AD172" s="48"/>
    </row>
    <row r="173" spans="1:30" ht="15.75" customHeight="1">
      <c r="A173" s="85"/>
      <c r="B173" s="48"/>
      <c r="C173" s="48"/>
      <c r="D173" s="48"/>
      <c r="E173" s="48"/>
      <c r="F173" s="48"/>
      <c r="G173" s="48"/>
      <c r="H173" s="48"/>
      <c r="I173" s="48"/>
      <c r="J173" s="48"/>
      <c r="K173" s="50"/>
      <c r="L173" s="48"/>
      <c r="M173" s="48"/>
      <c r="N173" s="50"/>
      <c r="O173" s="48"/>
      <c r="P173" s="48"/>
      <c r="Q173" s="48"/>
      <c r="R173" s="48"/>
      <c r="S173" s="48"/>
      <c r="T173" s="48"/>
      <c r="U173" s="48"/>
      <c r="V173" s="48"/>
      <c r="W173" s="48"/>
      <c r="X173" s="48"/>
      <c r="Y173" s="48"/>
      <c r="Z173" s="48"/>
      <c r="AA173" s="48"/>
      <c r="AB173" s="48"/>
      <c r="AC173" s="48"/>
      <c r="AD173" s="48"/>
    </row>
    <row r="174" spans="1:30" ht="15.75" customHeight="1">
      <c r="A174" s="85"/>
      <c r="B174" s="48"/>
      <c r="C174" s="48"/>
      <c r="D174" s="48"/>
      <c r="E174" s="48"/>
      <c r="F174" s="48"/>
      <c r="G174" s="48"/>
      <c r="H174" s="48"/>
      <c r="I174" s="48"/>
      <c r="J174" s="48"/>
      <c r="K174" s="50"/>
      <c r="L174" s="48"/>
      <c r="M174" s="48"/>
      <c r="N174" s="50"/>
      <c r="O174" s="48"/>
      <c r="P174" s="48"/>
      <c r="Q174" s="48"/>
      <c r="R174" s="48"/>
      <c r="S174" s="48"/>
      <c r="T174" s="48"/>
      <c r="U174" s="48"/>
      <c r="V174" s="48"/>
      <c r="W174" s="48"/>
      <c r="X174" s="48"/>
      <c r="Y174" s="48"/>
      <c r="Z174" s="48"/>
      <c r="AA174" s="48"/>
      <c r="AB174" s="48"/>
      <c r="AC174" s="48"/>
      <c r="AD174" s="48"/>
    </row>
    <row r="175" spans="1:30" ht="15.75" customHeight="1">
      <c r="A175" s="85"/>
      <c r="B175" s="48"/>
      <c r="C175" s="48"/>
      <c r="D175" s="48"/>
      <c r="E175" s="48"/>
      <c r="F175" s="48"/>
      <c r="G175" s="48"/>
      <c r="H175" s="48"/>
      <c r="I175" s="48"/>
      <c r="J175" s="48"/>
      <c r="K175" s="50"/>
      <c r="L175" s="48"/>
      <c r="M175" s="48"/>
      <c r="N175" s="50"/>
      <c r="O175" s="48"/>
      <c r="P175" s="48"/>
      <c r="Q175" s="48"/>
      <c r="R175" s="48"/>
      <c r="S175" s="48"/>
      <c r="T175" s="48"/>
      <c r="U175" s="48"/>
      <c r="V175" s="48"/>
      <c r="W175" s="48"/>
      <c r="X175" s="48"/>
      <c r="Y175" s="48"/>
      <c r="Z175" s="48"/>
      <c r="AA175" s="48"/>
      <c r="AB175" s="48"/>
      <c r="AC175" s="48"/>
      <c r="AD175" s="48"/>
    </row>
    <row r="176" spans="1:30" ht="15.75" customHeight="1">
      <c r="A176" s="85"/>
      <c r="B176" s="48"/>
      <c r="C176" s="48"/>
      <c r="D176" s="48"/>
      <c r="E176" s="48"/>
      <c r="F176" s="48"/>
      <c r="G176" s="48"/>
      <c r="H176" s="48"/>
      <c r="I176" s="48"/>
      <c r="J176" s="48"/>
      <c r="K176" s="50"/>
      <c r="L176" s="48"/>
      <c r="M176" s="48"/>
      <c r="N176" s="50"/>
      <c r="O176" s="48"/>
      <c r="P176" s="48"/>
      <c r="Q176" s="48"/>
      <c r="R176" s="48"/>
      <c r="S176" s="48"/>
      <c r="T176" s="48"/>
      <c r="U176" s="48"/>
      <c r="V176" s="48"/>
      <c r="W176" s="48"/>
      <c r="X176" s="48"/>
      <c r="Y176" s="48"/>
      <c r="Z176" s="48"/>
      <c r="AA176" s="48"/>
      <c r="AB176" s="48"/>
      <c r="AC176" s="48"/>
      <c r="AD176" s="48"/>
    </row>
    <row r="177" spans="1:30" ht="15.75" customHeight="1">
      <c r="A177" s="85"/>
      <c r="B177" s="48"/>
      <c r="C177" s="48"/>
      <c r="D177" s="48"/>
      <c r="E177" s="48"/>
      <c r="F177" s="48"/>
      <c r="G177" s="48"/>
      <c r="H177" s="48"/>
      <c r="I177" s="48"/>
      <c r="J177" s="48"/>
      <c r="K177" s="50"/>
      <c r="L177" s="48"/>
      <c r="M177" s="48"/>
      <c r="N177" s="50"/>
      <c r="O177" s="48"/>
      <c r="P177" s="48"/>
      <c r="Q177" s="48"/>
      <c r="R177" s="48"/>
      <c r="S177" s="48"/>
      <c r="T177" s="48"/>
      <c r="U177" s="48"/>
      <c r="V177" s="48"/>
      <c r="W177" s="48"/>
      <c r="X177" s="48"/>
      <c r="Y177" s="48"/>
      <c r="Z177" s="48"/>
      <c r="AA177" s="48"/>
      <c r="AB177" s="48"/>
      <c r="AC177" s="48"/>
      <c r="AD177" s="48"/>
    </row>
    <row r="178" spans="1:30" ht="15.75" customHeight="1">
      <c r="A178" s="85"/>
      <c r="B178" s="48"/>
      <c r="C178" s="48"/>
      <c r="D178" s="48"/>
      <c r="E178" s="48"/>
      <c r="F178" s="48"/>
      <c r="G178" s="48"/>
      <c r="H178" s="48"/>
      <c r="I178" s="48"/>
      <c r="J178" s="48"/>
      <c r="K178" s="50"/>
      <c r="L178" s="48"/>
      <c r="M178" s="48"/>
      <c r="N178" s="50"/>
      <c r="O178" s="48"/>
      <c r="P178" s="48"/>
      <c r="Q178" s="48"/>
      <c r="R178" s="48"/>
      <c r="S178" s="48"/>
      <c r="T178" s="48"/>
      <c r="U178" s="48"/>
      <c r="V178" s="48"/>
      <c r="W178" s="48"/>
      <c r="X178" s="48"/>
      <c r="Y178" s="48"/>
      <c r="Z178" s="48"/>
      <c r="AA178" s="48"/>
      <c r="AB178" s="48"/>
      <c r="AC178" s="48"/>
      <c r="AD178" s="48"/>
    </row>
    <row r="179" spans="1:30" ht="15.75" customHeight="1">
      <c r="A179" s="85"/>
      <c r="B179" s="48"/>
      <c r="C179" s="48"/>
      <c r="D179" s="48"/>
      <c r="E179" s="48"/>
      <c r="F179" s="48"/>
      <c r="G179" s="48"/>
      <c r="H179" s="48"/>
      <c r="I179" s="48"/>
      <c r="J179" s="48"/>
      <c r="K179" s="50"/>
      <c r="L179" s="48"/>
      <c r="M179" s="48"/>
      <c r="N179" s="50"/>
      <c r="O179" s="48"/>
      <c r="P179" s="48"/>
      <c r="Q179" s="48"/>
      <c r="R179" s="48"/>
      <c r="S179" s="48"/>
      <c r="T179" s="48"/>
      <c r="U179" s="48"/>
      <c r="V179" s="48"/>
      <c r="W179" s="48"/>
      <c r="X179" s="48"/>
      <c r="Y179" s="48"/>
      <c r="Z179" s="48"/>
      <c r="AA179" s="48"/>
      <c r="AB179" s="48"/>
      <c r="AC179" s="48"/>
      <c r="AD179" s="48"/>
    </row>
    <row r="180" spans="1:30" ht="15.75" customHeight="1">
      <c r="A180" s="85"/>
      <c r="B180" s="48"/>
      <c r="C180" s="48"/>
      <c r="D180" s="48"/>
      <c r="E180" s="48"/>
      <c r="F180" s="48"/>
      <c r="G180" s="48"/>
      <c r="H180" s="48"/>
      <c r="I180" s="48"/>
      <c r="J180" s="48"/>
      <c r="K180" s="50"/>
      <c r="L180" s="48"/>
      <c r="M180" s="48"/>
      <c r="N180" s="50"/>
      <c r="O180" s="48"/>
      <c r="P180" s="48"/>
      <c r="Q180" s="48"/>
      <c r="R180" s="48"/>
      <c r="S180" s="48"/>
      <c r="T180" s="48"/>
      <c r="U180" s="48"/>
      <c r="V180" s="48"/>
      <c r="W180" s="48"/>
      <c r="X180" s="48"/>
      <c r="Y180" s="48"/>
      <c r="Z180" s="48"/>
      <c r="AA180" s="48"/>
      <c r="AB180" s="48"/>
      <c r="AC180" s="48"/>
      <c r="AD180" s="48"/>
    </row>
    <row r="181" spans="1:30" ht="15.75" customHeight="1">
      <c r="A181" s="85"/>
      <c r="B181" s="48"/>
      <c r="C181" s="48"/>
      <c r="D181" s="48"/>
      <c r="E181" s="48"/>
      <c r="F181" s="48"/>
      <c r="G181" s="48"/>
      <c r="H181" s="48"/>
      <c r="I181" s="48"/>
      <c r="J181" s="48"/>
      <c r="K181" s="50"/>
      <c r="L181" s="48"/>
      <c r="M181" s="48"/>
      <c r="N181" s="50"/>
      <c r="O181" s="48"/>
      <c r="P181" s="48"/>
      <c r="Q181" s="48"/>
      <c r="R181" s="48"/>
      <c r="S181" s="48"/>
      <c r="T181" s="48"/>
      <c r="U181" s="48"/>
      <c r="V181" s="48"/>
      <c r="W181" s="48"/>
      <c r="X181" s="48"/>
      <c r="Y181" s="48"/>
      <c r="Z181" s="48"/>
      <c r="AA181" s="48"/>
      <c r="AB181" s="48"/>
      <c r="AC181" s="48"/>
      <c r="AD181" s="48"/>
    </row>
    <row r="182" spans="1:30" ht="15.75" customHeight="1">
      <c r="A182" s="85"/>
      <c r="B182" s="48"/>
      <c r="C182" s="48"/>
      <c r="D182" s="48"/>
      <c r="E182" s="48"/>
      <c r="F182" s="48"/>
      <c r="G182" s="48"/>
      <c r="H182" s="48"/>
      <c r="I182" s="48"/>
      <c r="J182" s="48"/>
      <c r="K182" s="50"/>
      <c r="L182" s="48"/>
      <c r="M182" s="48"/>
      <c r="N182" s="50"/>
      <c r="O182" s="48"/>
      <c r="P182" s="48"/>
      <c r="Q182" s="48"/>
      <c r="R182" s="48"/>
      <c r="S182" s="48"/>
      <c r="T182" s="48"/>
      <c r="U182" s="48"/>
      <c r="V182" s="48"/>
      <c r="W182" s="48"/>
      <c r="X182" s="48"/>
      <c r="Y182" s="48"/>
      <c r="Z182" s="48"/>
      <c r="AA182" s="48"/>
      <c r="AB182" s="48"/>
      <c r="AC182" s="48"/>
      <c r="AD182" s="48"/>
    </row>
    <row r="183" spans="1:30" ht="15.75" customHeight="1">
      <c r="A183" s="85"/>
      <c r="B183" s="48"/>
      <c r="C183" s="48"/>
      <c r="D183" s="48"/>
      <c r="E183" s="48"/>
      <c r="F183" s="48"/>
      <c r="G183" s="48"/>
      <c r="H183" s="48"/>
      <c r="I183" s="48"/>
      <c r="J183" s="48"/>
      <c r="K183" s="50"/>
      <c r="L183" s="48"/>
      <c r="M183" s="48"/>
      <c r="N183" s="50"/>
      <c r="O183" s="48"/>
      <c r="P183" s="48"/>
      <c r="Q183" s="48"/>
      <c r="R183" s="48"/>
      <c r="S183" s="48"/>
      <c r="T183" s="48"/>
      <c r="U183" s="48"/>
      <c r="V183" s="48"/>
      <c r="W183" s="48"/>
      <c r="X183" s="48"/>
      <c r="Y183" s="48"/>
      <c r="Z183" s="48"/>
      <c r="AA183" s="48"/>
      <c r="AB183" s="48"/>
      <c r="AC183" s="48"/>
      <c r="AD183" s="48"/>
    </row>
    <row r="184" spans="1:30" ht="15.75" customHeight="1">
      <c r="A184" s="85"/>
      <c r="B184" s="48"/>
      <c r="C184" s="48"/>
      <c r="D184" s="48"/>
      <c r="E184" s="48"/>
      <c r="F184" s="48"/>
      <c r="G184" s="48"/>
      <c r="H184" s="48"/>
      <c r="I184" s="48"/>
      <c r="J184" s="48"/>
      <c r="K184" s="50"/>
      <c r="L184" s="48"/>
      <c r="M184" s="48"/>
      <c r="N184" s="50"/>
      <c r="O184" s="48"/>
      <c r="P184" s="48"/>
      <c r="Q184" s="48"/>
      <c r="R184" s="48"/>
      <c r="S184" s="48"/>
      <c r="T184" s="48"/>
      <c r="U184" s="48"/>
      <c r="V184" s="48"/>
      <c r="W184" s="48"/>
      <c r="X184" s="48"/>
      <c r="Y184" s="48"/>
      <c r="Z184" s="48"/>
      <c r="AA184" s="48"/>
      <c r="AB184" s="48"/>
      <c r="AC184" s="48"/>
      <c r="AD184" s="48"/>
    </row>
    <row r="185" spans="1:30" ht="15.75" customHeight="1">
      <c r="A185" s="85"/>
      <c r="B185" s="48"/>
      <c r="C185" s="48"/>
      <c r="D185" s="48"/>
      <c r="E185" s="48"/>
      <c r="F185" s="48"/>
      <c r="G185" s="48"/>
      <c r="H185" s="48"/>
      <c r="I185" s="48"/>
      <c r="J185" s="48"/>
      <c r="K185" s="50"/>
      <c r="L185" s="48"/>
      <c r="M185" s="48"/>
      <c r="N185" s="50"/>
      <c r="O185" s="48"/>
      <c r="P185" s="48"/>
      <c r="Q185" s="48"/>
      <c r="R185" s="48"/>
      <c r="S185" s="48"/>
      <c r="T185" s="48"/>
      <c r="U185" s="48"/>
      <c r="V185" s="48"/>
      <c r="W185" s="48"/>
      <c r="X185" s="48"/>
      <c r="Y185" s="48"/>
      <c r="Z185" s="48"/>
      <c r="AA185" s="48"/>
      <c r="AB185" s="48"/>
      <c r="AC185" s="48"/>
      <c r="AD185" s="48"/>
    </row>
    <row r="186" spans="1:30" ht="15.75" customHeight="1">
      <c r="A186" s="85"/>
      <c r="B186" s="48"/>
      <c r="C186" s="48"/>
      <c r="D186" s="48"/>
      <c r="E186" s="48"/>
      <c r="F186" s="48"/>
      <c r="G186" s="48"/>
      <c r="H186" s="48"/>
      <c r="I186" s="48"/>
      <c r="J186" s="48"/>
      <c r="K186" s="50"/>
      <c r="L186" s="48"/>
      <c r="M186" s="48"/>
      <c r="N186" s="50"/>
      <c r="O186" s="48"/>
      <c r="P186" s="48"/>
      <c r="Q186" s="48"/>
      <c r="R186" s="48"/>
      <c r="S186" s="48"/>
      <c r="T186" s="48"/>
      <c r="U186" s="48"/>
      <c r="V186" s="48"/>
      <c r="W186" s="48"/>
      <c r="X186" s="48"/>
      <c r="Y186" s="48"/>
      <c r="Z186" s="48"/>
      <c r="AA186" s="48"/>
      <c r="AB186" s="48"/>
      <c r="AC186" s="48"/>
      <c r="AD186" s="48"/>
    </row>
    <row r="187" spans="1:30" ht="15.75" customHeight="1">
      <c r="A187" s="85"/>
      <c r="B187" s="48"/>
      <c r="C187" s="48"/>
      <c r="D187" s="48"/>
      <c r="E187" s="48"/>
      <c r="F187" s="48"/>
      <c r="G187" s="48"/>
      <c r="H187" s="48"/>
      <c r="I187" s="48"/>
      <c r="J187" s="48"/>
      <c r="K187" s="50"/>
      <c r="L187" s="48"/>
      <c r="M187" s="48"/>
      <c r="N187" s="50"/>
      <c r="O187" s="48"/>
      <c r="P187" s="48"/>
      <c r="Q187" s="48"/>
      <c r="R187" s="48"/>
      <c r="S187" s="48"/>
      <c r="T187" s="48"/>
      <c r="U187" s="48"/>
      <c r="V187" s="48"/>
      <c r="W187" s="48"/>
      <c r="X187" s="48"/>
      <c r="Y187" s="48"/>
      <c r="Z187" s="48"/>
      <c r="AA187" s="48"/>
      <c r="AB187" s="48"/>
      <c r="AC187" s="48"/>
      <c r="AD187" s="48"/>
    </row>
    <row r="188" spans="1:30" ht="15.75" customHeight="1">
      <c r="A188" s="85"/>
      <c r="B188" s="48"/>
      <c r="C188" s="48"/>
      <c r="D188" s="48"/>
      <c r="E188" s="48"/>
      <c r="F188" s="48"/>
      <c r="G188" s="48"/>
      <c r="H188" s="48"/>
      <c r="I188" s="48"/>
      <c r="J188" s="48"/>
      <c r="K188" s="50"/>
      <c r="L188" s="48"/>
      <c r="M188" s="48"/>
      <c r="N188" s="50"/>
      <c r="O188" s="48"/>
      <c r="P188" s="48"/>
      <c r="Q188" s="48"/>
      <c r="R188" s="48"/>
      <c r="S188" s="48"/>
      <c r="T188" s="48"/>
      <c r="U188" s="48"/>
      <c r="V188" s="48"/>
      <c r="W188" s="48"/>
      <c r="X188" s="48"/>
      <c r="Y188" s="48"/>
      <c r="Z188" s="48"/>
      <c r="AA188" s="48"/>
      <c r="AB188" s="48"/>
      <c r="AC188" s="48"/>
      <c r="AD188" s="48"/>
    </row>
    <row r="189" spans="1:30" ht="15.75" customHeight="1">
      <c r="A189" s="85"/>
      <c r="B189" s="48"/>
      <c r="C189" s="48"/>
      <c r="D189" s="48"/>
      <c r="E189" s="48"/>
      <c r="F189" s="48"/>
      <c r="G189" s="48"/>
      <c r="H189" s="48"/>
      <c r="I189" s="48"/>
      <c r="J189" s="48"/>
      <c r="K189" s="50"/>
      <c r="L189" s="48"/>
      <c r="M189" s="48"/>
      <c r="N189" s="50"/>
      <c r="O189" s="48"/>
      <c r="P189" s="48"/>
      <c r="Q189" s="48"/>
      <c r="R189" s="48"/>
      <c r="S189" s="48"/>
      <c r="T189" s="48"/>
      <c r="U189" s="48"/>
      <c r="V189" s="48"/>
      <c r="W189" s="48"/>
      <c r="X189" s="48"/>
      <c r="Y189" s="48"/>
      <c r="Z189" s="48"/>
      <c r="AA189" s="48"/>
      <c r="AB189" s="48"/>
      <c r="AC189" s="48"/>
      <c r="AD189" s="48"/>
    </row>
    <row r="190" spans="1:30" ht="15.75" customHeight="1">
      <c r="A190" s="85"/>
      <c r="B190" s="48"/>
      <c r="C190" s="48"/>
      <c r="D190" s="48"/>
      <c r="E190" s="48"/>
      <c r="F190" s="48"/>
      <c r="G190" s="48"/>
      <c r="H190" s="48"/>
      <c r="I190" s="48"/>
      <c r="J190" s="48"/>
      <c r="K190" s="50"/>
      <c r="L190" s="48"/>
      <c r="M190" s="48"/>
      <c r="N190" s="50"/>
      <c r="O190" s="48"/>
      <c r="P190" s="48"/>
      <c r="Q190" s="48"/>
      <c r="R190" s="48"/>
      <c r="S190" s="48"/>
      <c r="T190" s="48"/>
      <c r="U190" s="48"/>
      <c r="V190" s="48"/>
      <c r="W190" s="48"/>
      <c r="X190" s="48"/>
      <c r="Y190" s="48"/>
      <c r="Z190" s="48"/>
      <c r="AA190" s="48"/>
      <c r="AB190" s="48"/>
      <c r="AC190" s="48"/>
      <c r="AD190" s="48"/>
    </row>
    <row r="191" spans="1:30" ht="15.75" customHeight="1">
      <c r="A191" s="85"/>
      <c r="B191" s="48"/>
      <c r="C191" s="48"/>
      <c r="D191" s="48"/>
      <c r="E191" s="48"/>
      <c r="F191" s="48"/>
      <c r="G191" s="48"/>
      <c r="H191" s="48"/>
      <c r="I191" s="48"/>
      <c r="J191" s="48"/>
      <c r="K191" s="50"/>
      <c r="L191" s="48"/>
      <c r="M191" s="48"/>
      <c r="N191" s="50"/>
      <c r="O191" s="48"/>
      <c r="P191" s="48"/>
      <c r="Q191" s="48"/>
      <c r="R191" s="48"/>
      <c r="S191" s="48"/>
      <c r="T191" s="48"/>
      <c r="U191" s="48"/>
      <c r="V191" s="48"/>
      <c r="W191" s="48"/>
      <c r="X191" s="48"/>
      <c r="Y191" s="48"/>
      <c r="Z191" s="48"/>
      <c r="AA191" s="48"/>
      <c r="AB191" s="48"/>
      <c r="AC191" s="48"/>
      <c r="AD191" s="48"/>
    </row>
    <row r="192" spans="1:30" ht="15.75" customHeight="1">
      <c r="A192" s="85"/>
      <c r="B192" s="48"/>
      <c r="C192" s="48"/>
      <c r="D192" s="48"/>
      <c r="E192" s="48"/>
      <c r="F192" s="48"/>
      <c r="G192" s="48"/>
      <c r="H192" s="48"/>
      <c r="I192" s="48"/>
      <c r="J192" s="48"/>
      <c r="K192" s="50"/>
      <c r="L192" s="48"/>
      <c r="M192" s="48"/>
      <c r="N192" s="50"/>
      <c r="O192" s="48"/>
      <c r="P192" s="48"/>
      <c r="Q192" s="48"/>
      <c r="R192" s="48"/>
      <c r="S192" s="48"/>
      <c r="T192" s="48"/>
      <c r="U192" s="48"/>
      <c r="V192" s="48"/>
      <c r="W192" s="48"/>
      <c r="X192" s="48"/>
      <c r="Y192" s="48"/>
      <c r="Z192" s="48"/>
      <c r="AA192" s="48"/>
      <c r="AB192" s="48"/>
      <c r="AC192" s="48"/>
      <c r="AD192" s="48"/>
    </row>
    <row r="193" spans="1:30" ht="15.75" customHeight="1">
      <c r="A193" s="85"/>
      <c r="B193" s="48"/>
      <c r="C193" s="48"/>
      <c r="D193" s="48"/>
      <c r="E193" s="48"/>
      <c r="F193" s="48"/>
      <c r="G193" s="48"/>
      <c r="H193" s="48"/>
      <c r="I193" s="48"/>
      <c r="J193" s="48"/>
      <c r="K193" s="50"/>
      <c r="L193" s="48"/>
      <c r="M193" s="48"/>
      <c r="N193" s="50"/>
      <c r="O193" s="48"/>
      <c r="P193" s="48"/>
      <c r="Q193" s="48"/>
      <c r="R193" s="48"/>
      <c r="S193" s="48"/>
      <c r="T193" s="48"/>
      <c r="U193" s="48"/>
      <c r="V193" s="48"/>
      <c r="W193" s="48"/>
      <c r="X193" s="48"/>
      <c r="Y193" s="48"/>
      <c r="Z193" s="48"/>
      <c r="AA193" s="48"/>
      <c r="AB193" s="48"/>
      <c r="AC193" s="48"/>
      <c r="AD193" s="48"/>
    </row>
    <row r="194" spans="1:30" ht="15.75" customHeight="1">
      <c r="A194" s="85"/>
      <c r="B194" s="48"/>
      <c r="C194" s="48"/>
      <c r="D194" s="48"/>
      <c r="E194" s="48"/>
      <c r="F194" s="48"/>
      <c r="G194" s="48"/>
      <c r="H194" s="48"/>
      <c r="I194" s="48"/>
      <c r="J194" s="48"/>
      <c r="K194" s="50"/>
      <c r="L194" s="48"/>
      <c r="M194" s="48"/>
      <c r="N194" s="50"/>
      <c r="O194" s="48"/>
      <c r="P194" s="48"/>
      <c r="Q194" s="48"/>
      <c r="R194" s="48"/>
      <c r="S194" s="48"/>
      <c r="T194" s="48"/>
      <c r="U194" s="48"/>
      <c r="V194" s="48"/>
      <c r="W194" s="48"/>
      <c r="X194" s="48"/>
      <c r="Y194" s="48"/>
      <c r="Z194" s="48"/>
      <c r="AA194" s="48"/>
      <c r="AB194" s="48"/>
      <c r="AC194" s="48"/>
      <c r="AD194" s="48"/>
    </row>
    <row r="195" spans="1:30" ht="15.75" customHeight="1">
      <c r="A195" s="85"/>
      <c r="B195" s="48"/>
      <c r="C195" s="48"/>
      <c r="D195" s="48"/>
      <c r="E195" s="48"/>
      <c r="F195" s="48"/>
      <c r="G195" s="48"/>
      <c r="H195" s="48"/>
      <c r="I195" s="48"/>
      <c r="J195" s="48"/>
      <c r="K195" s="50"/>
      <c r="L195" s="48"/>
      <c r="M195" s="48"/>
      <c r="N195" s="50"/>
      <c r="O195" s="48"/>
      <c r="P195" s="48"/>
      <c r="Q195" s="48"/>
      <c r="R195" s="48"/>
      <c r="S195" s="48"/>
      <c r="T195" s="48"/>
      <c r="U195" s="48"/>
      <c r="V195" s="48"/>
      <c r="W195" s="48"/>
      <c r="X195" s="48"/>
      <c r="Y195" s="48"/>
      <c r="Z195" s="48"/>
      <c r="AA195" s="48"/>
      <c r="AB195" s="48"/>
      <c r="AC195" s="48"/>
      <c r="AD195" s="48"/>
    </row>
    <row r="196" spans="1:30" ht="15.75" customHeight="1">
      <c r="A196" s="85"/>
      <c r="B196" s="48"/>
      <c r="C196" s="48"/>
      <c r="D196" s="48"/>
      <c r="E196" s="48"/>
      <c r="F196" s="48"/>
      <c r="G196" s="48"/>
      <c r="H196" s="48"/>
      <c r="I196" s="48"/>
      <c r="J196" s="48"/>
      <c r="K196" s="50"/>
      <c r="L196" s="48"/>
      <c r="M196" s="48"/>
      <c r="N196" s="50"/>
      <c r="O196" s="48"/>
      <c r="P196" s="48"/>
      <c r="Q196" s="48"/>
      <c r="R196" s="48"/>
      <c r="S196" s="48"/>
      <c r="T196" s="48"/>
      <c r="U196" s="48"/>
      <c r="V196" s="48"/>
      <c r="W196" s="48"/>
      <c r="X196" s="48"/>
      <c r="Y196" s="48"/>
      <c r="Z196" s="48"/>
      <c r="AA196" s="48"/>
      <c r="AB196" s="48"/>
      <c r="AC196" s="48"/>
      <c r="AD196" s="48"/>
    </row>
    <row r="197" spans="1:30" ht="15.75" customHeight="1">
      <c r="A197" s="85"/>
      <c r="B197" s="48"/>
      <c r="C197" s="48"/>
      <c r="D197" s="48"/>
      <c r="E197" s="48"/>
      <c r="F197" s="48"/>
      <c r="G197" s="48"/>
      <c r="H197" s="48"/>
      <c r="I197" s="48"/>
      <c r="J197" s="48"/>
      <c r="K197" s="50"/>
      <c r="L197" s="48"/>
      <c r="M197" s="48"/>
      <c r="N197" s="50"/>
      <c r="O197" s="48"/>
      <c r="P197" s="48"/>
      <c r="Q197" s="48"/>
      <c r="R197" s="48"/>
      <c r="S197" s="48"/>
      <c r="T197" s="48"/>
      <c r="U197" s="48"/>
      <c r="V197" s="48"/>
      <c r="W197" s="48"/>
      <c r="X197" s="48"/>
      <c r="Y197" s="48"/>
      <c r="Z197" s="48"/>
      <c r="AA197" s="48"/>
      <c r="AB197" s="48"/>
      <c r="AC197" s="48"/>
      <c r="AD197" s="48"/>
    </row>
    <row r="198" spans="1:30" ht="15.75" customHeight="1">
      <c r="A198" s="85"/>
      <c r="B198" s="48"/>
      <c r="C198" s="48"/>
      <c r="D198" s="48"/>
      <c r="E198" s="48"/>
      <c r="F198" s="48"/>
      <c r="G198" s="48"/>
      <c r="H198" s="48"/>
      <c r="I198" s="48"/>
      <c r="J198" s="48"/>
      <c r="K198" s="50"/>
      <c r="L198" s="48"/>
      <c r="M198" s="48"/>
      <c r="N198" s="50"/>
      <c r="O198" s="48"/>
      <c r="P198" s="48"/>
      <c r="Q198" s="48"/>
      <c r="R198" s="48"/>
      <c r="S198" s="48"/>
      <c r="T198" s="48"/>
      <c r="U198" s="48"/>
      <c r="V198" s="48"/>
      <c r="W198" s="48"/>
      <c r="X198" s="48"/>
      <c r="Y198" s="48"/>
      <c r="Z198" s="48"/>
      <c r="AA198" s="48"/>
      <c r="AB198" s="48"/>
      <c r="AC198" s="48"/>
      <c r="AD198" s="48"/>
    </row>
    <row r="199" spans="1:30" ht="15.75" customHeight="1">
      <c r="A199" s="85"/>
      <c r="B199" s="48"/>
      <c r="C199" s="48"/>
      <c r="D199" s="48"/>
      <c r="E199" s="48"/>
      <c r="F199" s="48"/>
      <c r="G199" s="48"/>
      <c r="H199" s="48"/>
      <c r="I199" s="48"/>
      <c r="J199" s="48"/>
      <c r="K199" s="50"/>
      <c r="L199" s="48"/>
      <c r="M199" s="48"/>
      <c r="N199" s="50"/>
      <c r="O199" s="48"/>
      <c r="P199" s="48"/>
      <c r="Q199" s="48"/>
      <c r="R199" s="48"/>
      <c r="S199" s="48"/>
      <c r="T199" s="48"/>
      <c r="U199" s="48"/>
      <c r="V199" s="48"/>
      <c r="W199" s="48"/>
      <c r="X199" s="48"/>
      <c r="Y199" s="48"/>
      <c r="Z199" s="48"/>
      <c r="AA199" s="48"/>
      <c r="AB199" s="48"/>
      <c r="AC199" s="48"/>
      <c r="AD199" s="48"/>
    </row>
    <row r="200" spans="1:30" ht="15.75" customHeight="1">
      <c r="A200" s="85"/>
      <c r="B200" s="48"/>
      <c r="C200" s="48"/>
      <c r="D200" s="48"/>
      <c r="E200" s="48"/>
      <c r="F200" s="48"/>
      <c r="G200" s="48"/>
      <c r="H200" s="48"/>
      <c r="I200" s="48"/>
      <c r="J200" s="48"/>
      <c r="K200" s="50"/>
      <c r="L200" s="48"/>
      <c r="M200" s="48"/>
      <c r="N200" s="50"/>
      <c r="O200" s="48"/>
      <c r="P200" s="48"/>
      <c r="Q200" s="48"/>
      <c r="R200" s="48"/>
      <c r="S200" s="48"/>
      <c r="T200" s="48"/>
      <c r="U200" s="48"/>
      <c r="V200" s="48"/>
      <c r="W200" s="48"/>
      <c r="X200" s="48"/>
      <c r="Y200" s="48"/>
      <c r="Z200" s="48"/>
      <c r="AA200" s="48"/>
      <c r="AB200" s="48"/>
      <c r="AC200" s="48"/>
      <c r="AD200" s="48"/>
    </row>
    <row r="201" spans="1:30" ht="15.75" customHeight="1">
      <c r="A201" s="85"/>
      <c r="B201" s="48"/>
      <c r="C201" s="48"/>
      <c r="D201" s="48"/>
      <c r="E201" s="48"/>
      <c r="F201" s="48"/>
      <c r="G201" s="48"/>
      <c r="H201" s="48"/>
      <c r="I201" s="48"/>
      <c r="J201" s="48"/>
      <c r="K201" s="50"/>
      <c r="L201" s="48"/>
      <c r="M201" s="48"/>
      <c r="N201" s="50"/>
      <c r="O201" s="48"/>
      <c r="P201" s="48"/>
      <c r="Q201" s="48"/>
      <c r="R201" s="48"/>
      <c r="S201" s="48"/>
      <c r="T201" s="48"/>
      <c r="U201" s="48"/>
      <c r="V201" s="48"/>
      <c r="W201" s="48"/>
      <c r="X201" s="48"/>
      <c r="Y201" s="48"/>
      <c r="Z201" s="48"/>
      <c r="AA201" s="48"/>
      <c r="AB201" s="48"/>
      <c r="AC201" s="48"/>
      <c r="AD201" s="48"/>
    </row>
    <row r="202" spans="1:30" ht="15.75" customHeight="1">
      <c r="A202" s="85"/>
      <c r="B202" s="48"/>
      <c r="C202" s="48"/>
      <c r="D202" s="48"/>
      <c r="E202" s="48"/>
      <c r="F202" s="48"/>
      <c r="G202" s="48"/>
      <c r="H202" s="48"/>
      <c r="I202" s="48"/>
      <c r="J202" s="48"/>
      <c r="K202" s="50"/>
      <c r="L202" s="48"/>
      <c r="M202" s="48"/>
      <c r="N202" s="50"/>
      <c r="O202" s="48"/>
      <c r="P202" s="48"/>
      <c r="Q202" s="48"/>
      <c r="R202" s="48"/>
      <c r="S202" s="48"/>
      <c r="T202" s="48"/>
      <c r="U202" s="48"/>
      <c r="V202" s="48"/>
      <c r="W202" s="48"/>
      <c r="X202" s="48"/>
      <c r="Y202" s="48"/>
      <c r="Z202" s="48"/>
      <c r="AA202" s="48"/>
      <c r="AB202" s="48"/>
      <c r="AC202" s="48"/>
      <c r="AD202" s="48"/>
    </row>
    <row r="203" spans="1:30" ht="15.75" customHeight="1">
      <c r="A203" s="85"/>
      <c r="B203" s="48"/>
      <c r="C203" s="48"/>
      <c r="D203" s="48"/>
      <c r="E203" s="48"/>
      <c r="F203" s="48"/>
      <c r="G203" s="48"/>
      <c r="H203" s="48"/>
      <c r="I203" s="48"/>
      <c r="J203" s="48"/>
      <c r="K203" s="50"/>
      <c r="L203" s="48"/>
      <c r="M203" s="48"/>
      <c r="N203" s="50"/>
      <c r="O203" s="48"/>
      <c r="P203" s="48"/>
      <c r="Q203" s="48"/>
      <c r="R203" s="48"/>
      <c r="S203" s="48"/>
      <c r="T203" s="48"/>
      <c r="U203" s="48"/>
      <c r="V203" s="48"/>
      <c r="W203" s="48"/>
      <c r="X203" s="48"/>
      <c r="Y203" s="48"/>
      <c r="Z203" s="48"/>
      <c r="AA203" s="48"/>
      <c r="AB203" s="48"/>
      <c r="AC203" s="48"/>
      <c r="AD203" s="48"/>
    </row>
    <row r="204" spans="1:30" ht="15.75" customHeight="1">
      <c r="A204" s="85"/>
      <c r="B204" s="48"/>
      <c r="C204" s="48"/>
      <c r="D204" s="48"/>
      <c r="E204" s="48"/>
      <c r="F204" s="48"/>
      <c r="G204" s="48"/>
      <c r="H204" s="48"/>
      <c r="I204" s="48"/>
      <c r="J204" s="48"/>
      <c r="K204" s="50"/>
      <c r="L204" s="48"/>
      <c r="M204" s="48"/>
      <c r="N204" s="50"/>
      <c r="O204" s="48"/>
      <c r="P204" s="48"/>
      <c r="Q204" s="48"/>
      <c r="R204" s="48"/>
      <c r="S204" s="48"/>
      <c r="T204" s="48"/>
      <c r="U204" s="48"/>
      <c r="V204" s="48"/>
      <c r="W204" s="48"/>
      <c r="X204" s="48"/>
      <c r="Y204" s="48"/>
      <c r="Z204" s="48"/>
      <c r="AA204" s="48"/>
      <c r="AB204" s="48"/>
      <c r="AC204" s="48"/>
      <c r="AD204" s="48"/>
    </row>
    <row r="205" spans="1:30" ht="15.75" customHeight="1">
      <c r="A205" s="85"/>
      <c r="B205" s="48"/>
      <c r="C205" s="48"/>
      <c r="D205" s="48"/>
      <c r="E205" s="48"/>
      <c r="F205" s="48"/>
      <c r="G205" s="48"/>
      <c r="H205" s="48"/>
      <c r="I205" s="48"/>
      <c r="J205" s="48"/>
      <c r="K205" s="50"/>
      <c r="L205" s="48"/>
      <c r="M205" s="48"/>
      <c r="N205" s="50"/>
      <c r="O205" s="48"/>
      <c r="P205" s="48"/>
      <c r="Q205" s="48"/>
      <c r="R205" s="48"/>
      <c r="S205" s="48"/>
      <c r="T205" s="48"/>
      <c r="U205" s="48"/>
      <c r="V205" s="48"/>
      <c r="W205" s="48"/>
      <c r="X205" s="48"/>
      <c r="Y205" s="48"/>
      <c r="Z205" s="48"/>
      <c r="AA205" s="48"/>
      <c r="AB205" s="48"/>
      <c r="AC205" s="48"/>
      <c r="AD205" s="48"/>
    </row>
    <row r="206" spans="1:30" ht="15.75" customHeight="1">
      <c r="A206" s="85"/>
      <c r="B206" s="48"/>
      <c r="C206" s="48"/>
      <c r="D206" s="48"/>
      <c r="E206" s="48"/>
      <c r="F206" s="48"/>
      <c r="G206" s="48"/>
      <c r="H206" s="48"/>
      <c r="I206" s="48"/>
      <c r="J206" s="48"/>
      <c r="K206" s="50"/>
      <c r="L206" s="48"/>
      <c r="M206" s="48"/>
      <c r="N206" s="50"/>
      <c r="O206" s="48"/>
      <c r="P206" s="48"/>
      <c r="Q206" s="48"/>
      <c r="R206" s="48"/>
      <c r="S206" s="48"/>
      <c r="T206" s="48"/>
      <c r="U206" s="48"/>
      <c r="V206" s="48"/>
      <c r="W206" s="48"/>
      <c r="X206" s="48"/>
      <c r="Y206" s="48"/>
      <c r="Z206" s="48"/>
      <c r="AA206" s="48"/>
      <c r="AB206" s="48"/>
      <c r="AC206" s="48"/>
      <c r="AD206" s="48"/>
    </row>
    <row r="207" spans="1:30" ht="15.75" customHeight="1">
      <c r="A207" s="85"/>
      <c r="B207" s="48"/>
      <c r="C207" s="48"/>
      <c r="D207" s="48"/>
      <c r="E207" s="48"/>
      <c r="F207" s="48"/>
      <c r="G207" s="48"/>
      <c r="H207" s="48"/>
      <c r="I207" s="48"/>
      <c r="J207" s="48"/>
      <c r="K207" s="50"/>
      <c r="L207" s="48"/>
      <c r="M207" s="48"/>
      <c r="N207" s="50"/>
      <c r="O207" s="48"/>
      <c r="P207" s="48"/>
      <c r="Q207" s="48"/>
      <c r="R207" s="48"/>
      <c r="S207" s="48"/>
      <c r="T207" s="48"/>
      <c r="U207" s="48"/>
      <c r="V207" s="48"/>
      <c r="W207" s="48"/>
      <c r="X207" s="48"/>
      <c r="Y207" s="48"/>
      <c r="Z207" s="48"/>
      <c r="AA207" s="48"/>
      <c r="AB207" s="48"/>
      <c r="AC207" s="48"/>
      <c r="AD207" s="48"/>
    </row>
    <row r="208" spans="1:30" ht="15.75" customHeight="1">
      <c r="A208" s="85"/>
      <c r="B208" s="48"/>
      <c r="C208" s="48"/>
      <c r="D208" s="48"/>
      <c r="E208" s="48"/>
      <c r="F208" s="48"/>
      <c r="G208" s="48"/>
      <c r="H208" s="48"/>
      <c r="I208" s="48"/>
      <c r="J208" s="48"/>
      <c r="K208" s="50"/>
      <c r="L208" s="48"/>
      <c r="M208" s="48"/>
      <c r="N208" s="50"/>
      <c r="O208" s="48"/>
      <c r="P208" s="48"/>
      <c r="Q208" s="48"/>
      <c r="R208" s="48"/>
      <c r="S208" s="48"/>
      <c r="T208" s="48"/>
      <c r="U208" s="48"/>
      <c r="V208" s="48"/>
      <c r="W208" s="48"/>
      <c r="X208" s="48"/>
      <c r="Y208" s="48"/>
      <c r="Z208" s="48"/>
      <c r="AA208" s="48"/>
      <c r="AB208" s="48"/>
      <c r="AC208" s="48"/>
      <c r="AD208" s="48"/>
    </row>
    <row r="209" spans="1:30" ht="15.75" customHeight="1">
      <c r="A209" s="85"/>
      <c r="B209" s="48"/>
      <c r="C209" s="48"/>
      <c r="D209" s="48"/>
      <c r="E209" s="48"/>
      <c r="F209" s="48"/>
      <c r="G209" s="48"/>
      <c r="H209" s="48"/>
      <c r="I209" s="48"/>
      <c r="J209" s="48"/>
      <c r="K209" s="50"/>
      <c r="L209" s="48"/>
      <c r="M209" s="48"/>
      <c r="N209" s="50"/>
      <c r="O209" s="48"/>
      <c r="P209" s="48"/>
      <c r="Q209" s="48"/>
      <c r="R209" s="48"/>
      <c r="S209" s="48"/>
      <c r="T209" s="48"/>
      <c r="U209" s="48"/>
      <c r="V209" s="48"/>
      <c r="W209" s="48"/>
      <c r="X209" s="48"/>
      <c r="Y209" s="48"/>
      <c r="Z209" s="48"/>
      <c r="AA209" s="48"/>
      <c r="AB209" s="48"/>
      <c r="AC209" s="48"/>
      <c r="AD209" s="48"/>
    </row>
    <row r="210" spans="1:30" ht="15.75" customHeight="1">
      <c r="A210" s="85"/>
      <c r="B210" s="48"/>
      <c r="C210" s="48"/>
      <c r="D210" s="48"/>
      <c r="E210" s="48"/>
      <c r="F210" s="48"/>
      <c r="G210" s="48"/>
      <c r="H210" s="48"/>
      <c r="I210" s="48"/>
      <c r="J210" s="48"/>
      <c r="K210" s="50"/>
      <c r="L210" s="48"/>
      <c r="M210" s="48"/>
      <c r="N210" s="50"/>
      <c r="O210" s="48"/>
      <c r="P210" s="48"/>
      <c r="Q210" s="48"/>
      <c r="R210" s="48"/>
      <c r="S210" s="48"/>
      <c r="T210" s="48"/>
      <c r="U210" s="48"/>
      <c r="V210" s="48"/>
      <c r="W210" s="48"/>
      <c r="X210" s="48"/>
      <c r="Y210" s="48"/>
      <c r="Z210" s="48"/>
      <c r="AA210" s="48"/>
      <c r="AB210" s="48"/>
      <c r="AC210" s="48"/>
      <c r="AD210" s="48"/>
    </row>
    <row r="211" spans="1:30" ht="15.75" customHeight="1">
      <c r="A211" s="85"/>
      <c r="B211" s="48"/>
      <c r="C211" s="48"/>
      <c r="D211" s="48"/>
      <c r="E211" s="48"/>
      <c r="F211" s="48"/>
      <c r="G211" s="48"/>
      <c r="H211" s="48"/>
      <c r="I211" s="48"/>
      <c r="J211" s="48"/>
      <c r="K211" s="50"/>
      <c r="L211" s="48"/>
      <c r="M211" s="48"/>
      <c r="N211" s="50"/>
      <c r="O211" s="48"/>
      <c r="P211" s="48"/>
      <c r="Q211" s="48"/>
      <c r="R211" s="48"/>
      <c r="S211" s="48"/>
      <c r="T211" s="48"/>
      <c r="U211" s="48"/>
      <c r="V211" s="48"/>
      <c r="W211" s="48"/>
      <c r="X211" s="48"/>
      <c r="Y211" s="48"/>
      <c r="Z211" s="48"/>
      <c r="AA211" s="48"/>
      <c r="AB211" s="48"/>
      <c r="AC211" s="48"/>
      <c r="AD211" s="48"/>
    </row>
    <row r="212" spans="1:30" ht="15.75" customHeight="1">
      <c r="A212" s="85"/>
      <c r="B212" s="48"/>
      <c r="C212" s="48"/>
      <c r="D212" s="48"/>
      <c r="E212" s="48"/>
      <c r="F212" s="48"/>
      <c r="G212" s="48"/>
      <c r="H212" s="48"/>
      <c r="I212" s="48"/>
      <c r="J212" s="48"/>
      <c r="K212" s="50"/>
      <c r="L212" s="48"/>
      <c r="M212" s="48"/>
      <c r="N212" s="50"/>
      <c r="O212" s="48"/>
      <c r="P212" s="48"/>
      <c r="Q212" s="48"/>
      <c r="R212" s="48"/>
      <c r="S212" s="48"/>
      <c r="T212" s="48"/>
      <c r="U212" s="48"/>
      <c r="V212" s="48"/>
      <c r="W212" s="48"/>
      <c r="X212" s="48"/>
      <c r="Y212" s="48"/>
      <c r="Z212" s="48"/>
      <c r="AA212" s="48"/>
      <c r="AB212" s="48"/>
      <c r="AC212" s="48"/>
      <c r="AD212" s="48"/>
    </row>
    <row r="213" spans="1:30" ht="15.75" customHeight="1">
      <c r="A213" s="85"/>
      <c r="B213" s="48"/>
      <c r="C213" s="48"/>
      <c r="D213" s="48"/>
      <c r="E213" s="48"/>
      <c r="F213" s="48"/>
      <c r="G213" s="48"/>
      <c r="H213" s="48"/>
      <c r="I213" s="48"/>
      <c r="J213" s="48"/>
      <c r="K213" s="50"/>
      <c r="L213" s="48"/>
      <c r="M213" s="48"/>
      <c r="N213" s="50"/>
      <c r="O213" s="48"/>
      <c r="P213" s="48"/>
      <c r="Q213" s="48"/>
      <c r="R213" s="48"/>
      <c r="S213" s="48"/>
      <c r="T213" s="48"/>
      <c r="U213" s="48"/>
      <c r="V213" s="48"/>
      <c r="W213" s="48"/>
      <c r="X213" s="48"/>
      <c r="Y213" s="48"/>
      <c r="Z213" s="48"/>
      <c r="AA213" s="48"/>
      <c r="AB213" s="48"/>
      <c r="AC213" s="48"/>
      <c r="AD213" s="48"/>
    </row>
    <row r="214" spans="1:30" ht="15.75" customHeight="1">
      <c r="A214" s="85"/>
      <c r="B214" s="48"/>
      <c r="C214" s="48"/>
      <c r="D214" s="48"/>
      <c r="E214" s="48"/>
      <c r="F214" s="48"/>
      <c r="G214" s="48"/>
      <c r="H214" s="48"/>
      <c r="I214" s="48"/>
      <c r="J214" s="48"/>
      <c r="K214" s="50"/>
      <c r="L214" s="48"/>
      <c r="M214" s="48"/>
      <c r="N214" s="50"/>
      <c r="O214" s="48"/>
      <c r="P214" s="48"/>
      <c r="Q214" s="48"/>
      <c r="R214" s="48"/>
      <c r="S214" s="48"/>
      <c r="T214" s="48"/>
      <c r="U214" s="48"/>
      <c r="V214" s="48"/>
      <c r="W214" s="48"/>
      <c r="X214" s="48"/>
      <c r="Y214" s="48"/>
      <c r="Z214" s="48"/>
      <c r="AA214" s="48"/>
      <c r="AB214" s="48"/>
      <c r="AC214" s="48"/>
      <c r="AD214" s="48"/>
    </row>
    <row r="215" spans="1:30" ht="15.75" customHeight="1">
      <c r="A215" s="85"/>
      <c r="B215" s="48"/>
      <c r="C215" s="48"/>
      <c r="D215" s="48"/>
      <c r="E215" s="48"/>
      <c r="F215" s="48"/>
      <c r="G215" s="48"/>
      <c r="H215" s="48"/>
      <c r="I215" s="48"/>
      <c r="J215" s="48"/>
      <c r="K215" s="50"/>
      <c r="L215" s="48"/>
      <c r="M215" s="48"/>
      <c r="N215" s="50"/>
      <c r="O215" s="48"/>
      <c r="P215" s="48"/>
      <c r="Q215" s="48"/>
      <c r="R215" s="48"/>
      <c r="S215" s="48"/>
      <c r="T215" s="48"/>
      <c r="U215" s="48"/>
      <c r="V215" s="48"/>
      <c r="W215" s="48"/>
      <c r="X215" s="48"/>
      <c r="Y215" s="48"/>
      <c r="Z215" s="48"/>
      <c r="AA215" s="48"/>
      <c r="AB215" s="48"/>
      <c r="AC215" s="48"/>
      <c r="AD215" s="48"/>
    </row>
    <row r="216" spans="1:30" ht="15.75" customHeight="1">
      <c r="A216" s="85"/>
      <c r="B216" s="48"/>
      <c r="C216" s="48"/>
      <c r="D216" s="48"/>
      <c r="E216" s="48"/>
      <c r="F216" s="48"/>
      <c r="G216" s="48"/>
      <c r="H216" s="48"/>
      <c r="I216" s="48"/>
      <c r="J216" s="48"/>
      <c r="K216" s="50"/>
      <c r="L216" s="48"/>
      <c r="M216" s="48"/>
      <c r="N216" s="50"/>
      <c r="O216" s="48"/>
      <c r="P216" s="48"/>
      <c r="Q216" s="48"/>
      <c r="R216" s="48"/>
      <c r="S216" s="48"/>
      <c r="T216" s="48"/>
      <c r="U216" s="48"/>
      <c r="V216" s="48"/>
      <c r="W216" s="48"/>
      <c r="X216" s="48"/>
      <c r="Y216" s="48"/>
      <c r="Z216" s="48"/>
      <c r="AA216" s="48"/>
      <c r="AB216" s="48"/>
      <c r="AC216" s="48"/>
      <c r="AD216" s="48"/>
    </row>
    <row r="217" spans="1:30" ht="15.75" customHeight="1">
      <c r="A217" s="85"/>
      <c r="B217" s="48"/>
      <c r="C217" s="48"/>
      <c r="D217" s="48"/>
      <c r="E217" s="48"/>
      <c r="F217" s="48"/>
      <c r="G217" s="48"/>
      <c r="H217" s="48"/>
      <c r="I217" s="48"/>
      <c r="J217" s="48"/>
      <c r="K217" s="50"/>
      <c r="L217" s="48"/>
      <c r="M217" s="48"/>
      <c r="N217" s="50"/>
      <c r="O217" s="48"/>
      <c r="P217" s="48"/>
      <c r="Q217" s="48"/>
      <c r="R217" s="48"/>
      <c r="S217" s="48"/>
      <c r="T217" s="48"/>
      <c r="U217" s="48"/>
      <c r="V217" s="48"/>
      <c r="W217" s="48"/>
      <c r="X217" s="48"/>
      <c r="Y217" s="48"/>
      <c r="Z217" s="48"/>
      <c r="AA217" s="48"/>
      <c r="AB217" s="48"/>
      <c r="AC217" s="48"/>
      <c r="AD217" s="48"/>
    </row>
    <row r="218" spans="1:30" ht="15.75" customHeight="1">
      <c r="A218" s="85"/>
      <c r="B218" s="48"/>
      <c r="C218" s="48"/>
      <c r="D218" s="48"/>
      <c r="E218" s="48"/>
      <c r="F218" s="48"/>
      <c r="G218" s="48"/>
      <c r="H218" s="48"/>
      <c r="I218" s="48"/>
      <c r="J218" s="48"/>
      <c r="K218" s="50"/>
      <c r="L218" s="48"/>
      <c r="M218" s="48"/>
      <c r="N218" s="50"/>
      <c r="O218" s="48"/>
      <c r="P218" s="48"/>
      <c r="Q218" s="48"/>
      <c r="R218" s="48"/>
      <c r="S218" s="48"/>
      <c r="T218" s="48"/>
      <c r="U218" s="48"/>
      <c r="V218" s="48"/>
      <c r="W218" s="48"/>
      <c r="X218" s="48"/>
      <c r="Y218" s="48"/>
      <c r="Z218" s="48"/>
      <c r="AA218" s="48"/>
      <c r="AB218" s="48"/>
      <c r="AC218" s="48"/>
      <c r="AD218" s="48"/>
    </row>
    <row r="219" spans="1:30" ht="15.75" customHeight="1">
      <c r="A219" s="85"/>
      <c r="B219" s="48"/>
      <c r="C219" s="48"/>
      <c r="D219" s="48"/>
      <c r="E219" s="48"/>
      <c r="F219" s="48"/>
      <c r="G219" s="48"/>
      <c r="H219" s="48"/>
      <c r="I219" s="48"/>
      <c r="J219" s="48"/>
      <c r="K219" s="50"/>
      <c r="L219" s="48"/>
      <c r="M219" s="48"/>
      <c r="N219" s="50"/>
      <c r="O219" s="48"/>
      <c r="P219" s="48"/>
      <c r="Q219" s="48"/>
      <c r="R219" s="48"/>
      <c r="S219" s="48"/>
      <c r="T219" s="48"/>
      <c r="U219" s="48"/>
      <c r="V219" s="48"/>
      <c r="W219" s="48"/>
      <c r="X219" s="48"/>
      <c r="Y219" s="48"/>
      <c r="Z219" s="48"/>
      <c r="AA219" s="48"/>
      <c r="AB219" s="48"/>
      <c r="AC219" s="48"/>
      <c r="AD219" s="48"/>
    </row>
    <row r="220" spans="1:30" ht="15.75" customHeight="1">
      <c r="A220" s="85"/>
      <c r="B220" s="48"/>
      <c r="C220" s="48"/>
      <c r="D220" s="48"/>
      <c r="E220" s="48"/>
      <c r="F220" s="48"/>
      <c r="G220" s="48"/>
      <c r="H220" s="48"/>
      <c r="I220" s="48"/>
      <c r="J220" s="48"/>
      <c r="K220" s="50"/>
      <c r="L220" s="48"/>
      <c r="M220" s="48"/>
      <c r="N220" s="50"/>
      <c r="O220" s="48"/>
      <c r="P220" s="48"/>
      <c r="Q220" s="48"/>
      <c r="R220" s="48"/>
      <c r="S220" s="48"/>
      <c r="T220" s="48"/>
      <c r="U220" s="48"/>
      <c r="V220" s="48"/>
      <c r="W220" s="48"/>
      <c r="X220" s="48"/>
      <c r="Y220" s="48"/>
      <c r="Z220" s="48"/>
      <c r="AA220" s="48"/>
      <c r="AB220" s="48"/>
      <c r="AC220" s="48"/>
      <c r="AD220" s="48"/>
    </row>
    <row r="221" spans="1:30" ht="15.75" customHeight="1">
      <c r="A221" s="85"/>
      <c r="B221" s="48"/>
      <c r="C221" s="48"/>
      <c r="D221" s="48"/>
      <c r="E221" s="48"/>
      <c r="F221" s="48"/>
      <c r="G221" s="48"/>
      <c r="H221" s="48"/>
      <c r="I221" s="48"/>
      <c r="J221" s="48"/>
      <c r="K221" s="50"/>
      <c r="L221" s="48"/>
      <c r="M221" s="48"/>
      <c r="N221" s="50"/>
      <c r="O221" s="48"/>
      <c r="P221" s="48"/>
      <c r="Q221" s="48"/>
      <c r="R221" s="48"/>
      <c r="S221" s="48"/>
      <c r="T221" s="48"/>
      <c r="U221" s="48"/>
      <c r="V221" s="48"/>
      <c r="W221" s="48"/>
      <c r="X221" s="48"/>
      <c r="Y221" s="48"/>
      <c r="Z221" s="48"/>
      <c r="AA221" s="48"/>
      <c r="AB221" s="48"/>
      <c r="AC221" s="48"/>
      <c r="AD221" s="48"/>
    </row>
    <row r="222" spans="1:30" ht="15.75" customHeight="1">
      <c r="A222" s="85"/>
      <c r="B222" s="48"/>
      <c r="C222" s="48"/>
      <c r="D222" s="48"/>
      <c r="E222" s="48"/>
      <c r="F222" s="48"/>
      <c r="G222" s="48"/>
      <c r="H222" s="48"/>
      <c r="I222" s="48"/>
      <c r="J222" s="48"/>
      <c r="K222" s="50"/>
      <c r="L222" s="48"/>
      <c r="M222" s="48"/>
      <c r="N222" s="50"/>
      <c r="O222" s="48"/>
      <c r="P222" s="48"/>
      <c r="Q222" s="48"/>
      <c r="R222" s="48"/>
      <c r="S222" s="48"/>
      <c r="T222" s="48"/>
      <c r="U222" s="48"/>
      <c r="V222" s="48"/>
      <c r="W222" s="48"/>
      <c r="X222" s="48"/>
      <c r="Y222" s="48"/>
      <c r="Z222" s="48"/>
      <c r="AA222" s="48"/>
      <c r="AB222" s="48"/>
      <c r="AC222" s="48"/>
      <c r="AD222" s="48"/>
    </row>
    <row r="223" spans="1:30" ht="15.75" customHeight="1">
      <c r="A223" s="85"/>
      <c r="B223" s="48"/>
      <c r="C223" s="48"/>
      <c r="D223" s="48"/>
      <c r="E223" s="48"/>
      <c r="F223" s="48"/>
      <c r="G223" s="48"/>
      <c r="H223" s="48"/>
      <c r="I223" s="48"/>
      <c r="J223" s="48"/>
      <c r="K223" s="50"/>
      <c r="L223" s="48"/>
      <c r="M223" s="48"/>
      <c r="N223" s="50"/>
      <c r="O223" s="48"/>
      <c r="P223" s="48"/>
      <c r="Q223" s="48"/>
      <c r="R223" s="48"/>
      <c r="S223" s="48"/>
      <c r="T223" s="48"/>
      <c r="U223" s="48"/>
      <c r="V223" s="48"/>
      <c r="W223" s="48"/>
      <c r="X223" s="48"/>
      <c r="Y223" s="48"/>
      <c r="Z223" s="48"/>
      <c r="AA223" s="48"/>
      <c r="AB223" s="48"/>
      <c r="AC223" s="48"/>
      <c r="AD223" s="48"/>
    </row>
    <row r="224" spans="1:30" ht="15.75" customHeight="1">
      <c r="A224" s="85"/>
      <c r="B224" s="48"/>
      <c r="C224" s="48"/>
      <c r="D224" s="48"/>
      <c r="E224" s="48"/>
      <c r="F224" s="48"/>
      <c r="G224" s="48"/>
      <c r="H224" s="48"/>
      <c r="I224" s="48"/>
      <c r="J224" s="48"/>
      <c r="K224" s="50"/>
      <c r="L224" s="48"/>
      <c r="M224" s="48"/>
      <c r="N224" s="50"/>
      <c r="O224" s="48"/>
      <c r="P224" s="48"/>
      <c r="Q224" s="48"/>
      <c r="R224" s="48"/>
      <c r="S224" s="48"/>
      <c r="T224" s="48"/>
      <c r="U224" s="48"/>
      <c r="V224" s="48"/>
      <c r="W224" s="48"/>
      <c r="X224" s="48"/>
      <c r="Y224" s="48"/>
      <c r="Z224" s="48"/>
      <c r="AA224" s="48"/>
      <c r="AB224" s="48"/>
      <c r="AC224" s="48"/>
      <c r="AD224" s="48"/>
    </row>
    <row r="225" spans="1:30" ht="15.75" customHeight="1">
      <c r="A225" s="85"/>
      <c r="B225" s="48"/>
      <c r="C225" s="48"/>
      <c r="D225" s="48"/>
      <c r="E225" s="48"/>
      <c r="F225" s="48"/>
      <c r="G225" s="48"/>
      <c r="H225" s="48"/>
      <c r="I225" s="48"/>
      <c r="J225" s="48"/>
      <c r="K225" s="50"/>
      <c r="L225" s="48"/>
      <c r="M225" s="48"/>
      <c r="N225" s="50"/>
      <c r="O225" s="48"/>
      <c r="P225" s="48"/>
      <c r="Q225" s="48"/>
      <c r="R225" s="48"/>
      <c r="S225" s="48"/>
      <c r="T225" s="48"/>
      <c r="U225" s="48"/>
      <c r="V225" s="48"/>
      <c r="W225" s="48"/>
      <c r="X225" s="48"/>
      <c r="Y225" s="48"/>
      <c r="Z225" s="48"/>
      <c r="AA225" s="48"/>
      <c r="AB225" s="48"/>
      <c r="AC225" s="48"/>
      <c r="AD225" s="48"/>
    </row>
    <row r="226" spans="1:30" ht="15.75" customHeight="1">
      <c r="A226" s="85"/>
      <c r="B226" s="48"/>
      <c r="C226" s="48"/>
      <c r="D226" s="48"/>
      <c r="E226" s="48"/>
      <c r="F226" s="48"/>
      <c r="G226" s="48"/>
      <c r="H226" s="48"/>
      <c r="I226" s="48"/>
      <c r="J226" s="48"/>
      <c r="K226" s="50"/>
      <c r="L226" s="48"/>
      <c r="M226" s="48"/>
      <c r="N226" s="50"/>
      <c r="O226" s="48"/>
      <c r="P226" s="48"/>
      <c r="Q226" s="48"/>
      <c r="R226" s="48"/>
      <c r="S226" s="48"/>
      <c r="T226" s="48"/>
      <c r="U226" s="48"/>
      <c r="V226" s="48"/>
      <c r="W226" s="48"/>
      <c r="X226" s="48"/>
      <c r="Y226" s="48"/>
      <c r="Z226" s="48"/>
      <c r="AA226" s="48"/>
      <c r="AB226" s="48"/>
      <c r="AC226" s="48"/>
      <c r="AD226" s="48"/>
    </row>
    <row r="227" spans="1:30" ht="15.75" customHeight="1">
      <c r="A227" s="85"/>
      <c r="B227" s="48"/>
      <c r="C227" s="48"/>
      <c r="D227" s="48"/>
      <c r="E227" s="48"/>
      <c r="F227" s="48"/>
      <c r="G227" s="48"/>
      <c r="H227" s="48"/>
      <c r="I227" s="48"/>
      <c r="J227" s="48"/>
      <c r="K227" s="50"/>
      <c r="L227" s="48"/>
      <c r="M227" s="48"/>
      <c r="N227" s="50"/>
      <c r="O227" s="48"/>
      <c r="P227" s="48"/>
      <c r="Q227" s="48"/>
      <c r="R227" s="48"/>
      <c r="S227" s="48"/>
      <c r="T227" s="48"/>
      <c r="U227" s="48"/>
      <c r="V227" s="48"/>
      <c r="W227" s="48"/>
      <c r="X227" s="48"/>
      <c r="Y227" s="48"/>
      <c r="Z227" s="48"/>
      <c r="AA227" s="48"/>
      <c r="AB227" s="48"/>
      <c r="AC227" s="48"/>
      <c r="AD227" s="48"/>
    </row>
    <row r="228" spans="1:30" ht="15.75" customHeight="1">
      <c r="A228" s="85"/>
      <c r="B228" s="48"/>
      <c r="C228" s="48"/>
      <c r="D228" s="48"/>
      <c r="E228" s="48"/>
      <c r="F228" s="48"/>
      <c r="G228" s="48"/>
      <c r="H228" s="48"/>
      <c r="I228" s="48"/>
      <c r="J228" s="48"/>
      <c r="K228" s="50"/>
      <c r="L228" s="48"/>
      <c r="M228" s="48"/>
      <c r="N228" s="50"/>
      <c r="O228" s="48"/>
      <c r="P228" s="48"/>
      <c r="Q228" s="48"/>
      <c r="R228" s="48"/>
      <c r="S228" s="48"/>
      <c r="T228" s="48"/>
      <c r="U228" s="48"/>
      <c r="V228" s="48"/>
      <c r="W228" s="48"/>
      <c r="X228" s="48"/>
      <c r="Y228" s="48"/>
      <c r="Z228" s="48"/>
      <c r="AA228" s="48"/>
      <c r="AB228" s="48"/>
      <c r="AC228" s="48"/>
      <c r="AD228" s="48"/>
    </row>
    <row r="229" spans="1:30" ht="15.75" customHeight="1">
      <c r="A229" s="85"/>
      <c r="B229" s="48"/>
      <c r="C229" s="48"/>
      <c r="D229" s="48"/>
      <c r="E229" s="48"/>
      <c r="F229" s="48"/>
      <c r="G229" s="48"/>
      <c r="H229" s="48"/>
      <c r="I229" s="48"/>
      <c r="J229" s="48"/>
      <c r="K229" s="50"/>
      <c r="L229" s="48"/>
      <c r="M229" s="48"/>
      <c r="N229" s="50"/>
      <c r="O229" s="48"/>
      <c r="P229" s="48"/>
      <c r="Q229" s="48"/>
      <c r="R229" s="48"/>
      <c r="S229" s="48"/>
      <c r="T229" s="48"/>
      <c r="U229" s="48"/>
      <c r="V229" s="48"/>
      <c r="W229" s="48"/>
      <c r="X229" s="48"/>
      <c r="Y229" s="48"/>
      <c r="Z229" s="48"/>
      <c r="AA229" s="48"/>
      <c r="AB229" s="48"/>
      <c r="AC229" s="48"/>
      <c r="AD229" s="48"/>
    </row>
    <row r="230" spans="1:30" ht="15.75" customHeight="1">
      <c r="A230" s="85"/>
      <c r="B230" s="48"/>
      <c r="C230" s="48"/>
      <c r="D230" s="48"/>
      <c r="E230" s="48"/>
      <c r="F230" s="48"/>
      <c r="G230" s="48"/>
      <c r="H230" s="48"/>
      <c r="I230" s="48"/>
      <c r="J230" s="48"/>
      <c r="K230" s="50"/>
      <c r="L230" s="48"/>
      <c r="M230" s="48"/>
      <c r="N230" s="50"/>
      <c r="O230" s="48"/>
      <c r="P230" s="48"/>
      <c r="Q230" s="48"/>
      <c r="R230" s="48"/>
      <c r="S230" s="48"/>
      <c r="T230" s="48"/>
      <c r="U230" s="48"/>
      <c r="V230" s="48"/>
      <c r="W230" s="48"/>
      <c r="X230" s="48"/>
      <c r="Y230" s="48"/>
      <c r="Z230" s="48"/>
      <c r="AA230" s="48"/>
      <c r="AB230" s="48"/>
      <c r="AC230" s="48"/>
      <c r="AD230" s="48"/>
    </row>
    <row r="231" spans="1:30" ht="15.75" customHeight="1">
      <c r="A231" s="85"/>
      <c r="B231" s="48"/>
      <c r="C231" s="48"/>
      <c r="D231" s="48"/>
      <c r="E231" s="48"/>
      <c r="F231" s="48"/>
      <c r="G231" s="48"/>
      <c r="H231" s="48"/>
      <c r="I231" s="48"/>
      <c r="J231" s="48"/>
      <c r="K231" s="50"/>
      <c r="L231" s="48"/>
      <c r="M231" s="48"/>
      <c r="N231" s="50"/>
      <c r="O231" s="48"/>
      <c r="P231" s="48"/>
      <c r="Q231" s="48"/>
      <c r="R231" s="48"/>
      <c r="S231" s="48"/>
      <c r="T231" s="48"/>
      <c r="U231" s="48"/>
      <c r="V231" s="48"/>
      <c r="W231" s="48"/>
      <c r="X231" s="48"/>
      <c r="Y231" s="48"/>
      <c r="Z231" s="48"/>
      <c r="AA231" s="48"/>
      <c r="AB231" s="48"/>
      <c r="AC231" s="48"/>
      <c r="AD231" s="48"/>
    </row>
    <row r="232" spans="1:30" ht="15.75" customHeight="1">
      <c r="A232" s="85"/>
      <c r="B232" s="48"/>
      <c r="C232" s="48"/>
      <c r="D232" s="48"/>
      <c r="E232" s="48"/>
      <c r="F232" s="48"/>
      <c r="G232" s="48"/>
      <c r="H232" s="48"/>
      <c r="I232" s="48"/>
      <c r="J232" s="48"/>
      <c r="K232" s="50"/>
      <c r="L232" s="48"/>
      <c r="M232" s="48"/>
      <c r="N232" s="50"/>
      <c r="O232" s="48"/>
      <c r="P232" s="48"/>
      <c r="Q232" s="48"/>
      <c r="R232" s="48"/>
      <c r="S232" s="48"/>
      <c r="T232" s="48"/>
      <c r="U232" s="48"/>
      <c r="V232" s="48"/>
      <c r="W232" s="48"/>
      <c r="X232" s="48"/>
      <c r="Y232" s="48"/>
      <c r="Z232" s="48"/>
      <c r="AA232" s="48"/>
      <c r="AB232" s="48"/>
      <c r="AC232" s="48"/>
      <c r="AD232" s="48"/>
    </row>
    <row r="233" spans="1:30" ht="15.75" customHeight="1">
      <c r="A233" s="85"/>
      <c r="B233" s="48"/>
      <c r="C233" s="48"/>
      <c r="D233" s="48"/>
      <c r="E233" s="48"/>
      <c r="F233" s="48"/>
      <c r="G233" s="48"/>
      <c r="H233" s="48"/>
      <c r="I233" s="48"/>
      <c r="J233" s="48"/>
      <c r="K233" s="50"/>
      <c r="L233" s="48"/>
      <c r="M233" s="48"/>
      <c r="N233" s="50"/>
      <c r="O233" s="48"/>
      <c r="P233" s="48"/>
      <c r="Q233" s="48"/>
      <c r="R233" s="48"/>
      <c r="S233" s="48"/>
      <c r="T233" s="48"/>
      <c r="U233" s="48"/>
      <c r="V233" s="48"/>
      <c r="W233" s="48"/>
      <c r="X233" s="48"/>
      <c r="Y233" s="48"/>
      <c r="Z233" s="48"/>
      <c r="AA233" s="48"/>
      <c r="AB233" s="48"/>
      <c r="AC233" s="48"/>
      <c r="AD233" s="48"/>
    </row>
    <row r="234" spans="1:30" ht="15.75" customHeight="1">
      <c r="A234" s="85"/>
      <c r="B234" s="48"/>
      <c r="C234" s="48"/>
      <c r="D234" s="48"/>
      <c r="E234" s="48"/>
      <c r="F234" s="48"/>
      <c r="G234" s="48"/>
      <c r="H234" s="48"/>
      <c r="I234" s="48"/>
      <c r="J234" s="48"/>
      <c r="K234" s="50"/>
      <c r="L234" s="48"/>
      <c r="M234" s="48"/>
      <c r="N234" s="50"/>
      <c r="O234" s="48"/>
      <c r="P234" s="48"/>
      <c r="Q234" s="48"/>
      <c r="R234" s="48"/>
      <c r="S234" s="48"/>
      <c r="T234" s="48"/>
      <c r="U234" s="48"/>
      <c r="V234" s="48"/>
      <c r="W234" s="48"/>
      <c r="X234" s="48"/>
      <c r="Y234" s="48"/>
      <c r="Z234" s="48"/>
      <c r="AA234" s="48"/>
      <c r="AB234" s="48"/>
      <c r="AC234" s="48"/>
      <c r="AD234" s="48"/>
    </row>
    <row r="235" spans="1:30" ht="15.75" customHeight="1">
      <c r="A235" s="85"/>
      <c r="B235" s="48"/>
      <c r="C235" s="48"/>
      <c r="D235" s="48"/>
      <c r="E235" s="48"/>
      <c r="F235" s="48"/>
      <c r="G235" s="48"/>
      <c r="H235" s="48"/>
      <c r="I235" s="48"/>
      <c r="J235" s="48"/>
      <c r="K235" s="50"/>
      <c r="L235" s="48"/>
      <c r="M235" s="48"/>
      <c r="N235" s="50"/>
      <c r="O235" s="48"/>
      <c r="P235" s="48"/>
      <c r="Q235" s="48"/>
      <c r="R235" s="48"/>
      <c r="S235" s="48"/>
      <c r="T235" s="48"/>
      <c r="U235" s="48"/>
      <c r="V235" s="48"/>
      <c r="W235" s="48"/>
      <c r="X235" s="48"/>
      <c r="Y235" s="48"/>
      <c r="Z235" s="48"/>
      <c r="AA235" s="48"/>
      <c r="AB235" s="48"/>
      <c r="AC235" s="48"/>
      <c r="AD235" s="48"/>
    </row>
    <row r="236" spans="1:30" ht="15.75" customHeight="1">
      <c r="A236" s="85"/>
      <c r="B236" s="48"/>
      <c r="C236" s="48"/>
      <c r="D236" s="48"/>
      <c r="E236" s="48"/>
      <c r="F236" s="48"/>
      <c r="G236" s="48"/>
      <c r="H236" s="48"/>
      <c r="I236" s="48"/>
      <c r="J236" s="48"/>
      <c r="K236" s="50"/>
      <c r="L236" s="48"/>
      <c r="M236" s="48"/>
      <c r="N236" s="50"/>
      <c r="O236" s="48"/>
      <c r="P236" s="48"/>
      <c r="Q236" s="48"/>
      <c r="R236" s="48"/>
      <c r="S236" s="48"/>
      <c r="T236" s="48"/>
      <c r="U236" s="48"/>
      <c r="V236" s="48"/>
      <c r="W236" s="48"/>
      <c r="X236" s="48"/>
      <c r="Y236" s="48"/>
      <c r="Z236" s="48"/>
      <c r="AA236" s="48"/>
      <c r="AB236" s="48"/>
      <c r="AC236" s="48"/>
      <c r="AD236" s="48"/>
    </row>
    <row r="237" spans="1:30" ht="15.75" customHeight="1">
      <c r="A237" s="85"/>
      <c r="B237" s="48"/>
      <c r="C237" s="48"/>
      <c r="D237" s="48"/>
      <c r="E237" s="48"/>
      <c r="F237" s="48"/>
      <c r="G237" s="48"/>
      <c r="H237" s="48"/>
      <c r="I237" s="48"/>
      <c r="J237" s="48"/>
      <c r="K237" s="50"/>
      <c r="L237" s="48"/>
      <c r="M237" s="48"/>
      <c r="N237" s="50"/>
      <c r="O237" s="48"/>
      <c r="P237" s="48"/>
      <c r="Q237" s="48"/>
      <c r="R237" s="48"/>
      <c r="S237" s="48"/>
      <c r="T237" s="48"/>
      <c r="U237" s="48"/>
      <c r="V237" s="48"/>
      <c r="W237" s="48"/>
      <c r="X237" s="48"/>
      <c r="Y237" s="48"/>
      <c r="Z237" s="48"/>
      <c r="AA237" s="48"/>
      <c r="AB237" s="48"/>
      <c r="AC237" s="48"/>
      <c r="AD237" s="48"/>
    </row>
    <row r="238" spans="1:30" ht="15.75" customHeight="1">
      <c r="A238" s="85"/>
      <c r="B238" s="48"/>
      <c r="C238" s="48"/>
      <c r="D238" s="48"/>
      <c r="E238" s="48"/>
      <c r="F238" s="48"/>
      <c r="G238" s="48"/>
      <c r="H238" s="48"/>
      <c r="I238" s="48"/>
      <c r="J238" s="48"/>
      <c r="K238" s="50"/>
      <c r="L238" s="48"/>
      <c r="M238" s="48"/>
      <c r="N238" s="50"/>
      <c r="O238" s="48"/>
      <c r="P238" s="48"/>
      <c r="Q238" s="48"/>
      <c r="R238" s="48"/>
      <c r="S238" s="48"/>
      <c r="T238" s="48"/>
      <c r="U238" s="48"/>
      <c r="V238" s="48"/>
      <c r="W238" s="48"/>
      <c r="X238" s="48"/>
      <c r="Y238" s="48"/>
      <c r="Z238" s="48"/>
      <c r="AA238" s="48"/>
      <c r="AB238" s="48"/>
      <c r="AC238" s="48"/>
      <c r="AD238" s="48"/>
    </row>
    <row r="239" spans="1:30" ht="15.75" customHeight="1">
      <c r="A239" s="85"/>
      <c r="B239" s="48"/>
      <c r="C239" s="48"/>
      <c r="D239" s="48"/>
      <c r="E239" s="48"/>
      <c r="F239" s="48"/>
      <c r="G239" s="48"/>
      <c r="H239" s="48"/>
      <c r="I239" s="48"/>
      <c r="J239" s="48"/>
      <c r="K239" s="50"/>
      <c r="L239" s="48"/>
      <c r="M239" s="48"/>
      <c r="N239" s="50"/>
      <c r="O239" s="48"/>
      <c r="P239" s="48"/>
      <c r="Q239" s="48"/>
      <c r="R239" s="48"/>
      <c r="S239" s="48"/>
      <c r="T239" s="48"/>
      <c r="U239" s="48"/>
      <c r="V239" s="48"/>
      <c r="W239" s="48"/>
      <c r="X239" s="48"/>
      <c r="Y239" s="48"/>
      <c r="Z239" s="48"/>
      <c r="AA239" s="48"/>
      <c r="AB239" s="48"/>
      <c r="AC239" s="48"/>
      <c r="AD239" s="48"/>
    </row>
    <row r="240" spans="1:30" ht="15.75" customHeight="1">
      <c r="A240" s="85"/>
      <c r="B240" s="48"/>
      <c r="C240" s="48"/>
      <c r="D240" s="48"/>
      <c r="E240" s="48"/>
      <c r="F240" s="48"/>
      <c r="G240" s="48"/>
      <c r="H240" s="48"/>
      <c r="I240" s="48"/>
      <c r="J240" s="48"/>
      <c r="K240" s="50"/>
      <c r="L240" s="48"/>
      <c r="M240" s="48"/>
      <c r="N240" s="50"/>
      <c r="O240" s="48"/>
      <c r="P240" s="48"/>
      <c r="Q240" s="48"/>
      <c r="R240" s="48"/>
      <c r="S240" s="48"/>
      <c r="T240" s="48"/>
      <c r="U240" s="48"/>
      <c r="V240" s="48"/>
      <c r="W240" s="48"/>
      <c r="X240" s="48"/>
      <c r="Y240" s="48"/>
      <c r="Z240" s="48"/>
      <c r="AA240" s="48"/>
      <c r="AB240" s="48"/>
      <c r="AC240" s="48"/>
      <c r="AD240" s="48"/>
    </row>
    <row r="241" spans="1:30" ht="15.75" customHeight="1">
      <c r="A241" s="85"/>
      <c r="B241" s="48"/>
      <c r="C241" s="48"/>
      <c r="D241" s="48"/>
      <c r="E241" s="48"/>
      <c r="F241" s="48"/>
      <c r="G241" s="48"/>
      <c r="H241" s="48"/>
      <c r="I241" s="48"/>
      <c r="J241" s="48"/>
      <c r="K241" s="50"/>
      <c r="L241" s="48"/>
      <c r="M241" s="48"/>
      <c r="N241" s="50"/>
      <c r="O241" s="48"/>
      <c r="P241" s="48"/>
      <c r="Q241" s="48"/>
      <c r="R241" s="48"/>
      <c r="S241" s="48"/>
      <c r="T241" s="48"/>
      <c r="U241" s="48"/>
      <c r="V241" s="48"/>
      <c r="W241" s="48"/>
      <c r="X241" s="48"/>
      <c r="Y241" s="48"/>
      <c r="Z241" s="48"/>
      <c r="AA241" s="48"/>
      <c r="AB241" s="48"/>
      <c r="AC241" s="48"/>
      <c r="AD241" s="48"/>
    </row>
    <row r="242" spans="1:30" ht="15.75" customHeight="1">
      <c r="A242" s="85"/>
      <c r="B242" s="48"/>
      <c r="C242" s="48"/>
      <c r="D242" s="48"/>
      <c r="E242" s="48"/>
      <c r="F242" s="48"/>
      <c r="G242" s="48"/>
      <c r="H242" s="48"/>
      <c r="I242" s="48"/>
      <c r="J242" s="48"/>
      <c r="K242" s="50"/>
      <c r="L242" s="48"/>
      <c r="M242" s="48"/>
      <c r="N242" s="50"/>
      <c r="O242" s="48"/>
      <c r="P242" s="48"/>
      <c r="Q242" s="48"/>
      <c r="R242" s="48"/>
      <c r="S242" s="48"/>
      <c r="T242" s="48"/>
      <c r="U242" s="48"/>
      <c r="V242" s="48"/>
      <c r="W242" s="48"/>
      <c r="X242" s="48"/>
      <c r="Y242" s="48"/>
      <c r="Z242" s="48"/>
      <c r="AA242" s="48"/>
      <c r="AB242" s="48"/>
      <c r="AC242" s="48"/>
      <c r="AD242" s="48"/>
    </row>
    <row r="243" spans="1:30" ht="15.75" customHeight="1">
      <c r="A243" s="85"/>
      <c r="B243" s="48"/>
      <c r="C243" s="48"/>
      <c r="D243" s="48"/>
      <c r="E243" s="48"/>
      <c r="F243" s="48"/>
      <c r="G243" s="48"/>
      <c r="H243" s="48"/>
      <c r="I243" s="48"/>
      <c r="J243" s="48"/>
      <c r="K243" s="50"/>
      <c r="L243" s="48"/>
      <c r="M243" s="48"/>
      <c r="N243" s="50"/>
      <c r="O243" s="48"/>
      <c r="P243" s="48"/>
      <c r="Q243" s="48"/>
      <c r="R243" s="48"/>
      <c r="S243" s="48"/>
      <c r="T243" s="48"/>
      <c r="U243" s="48"/>
      <c r="V243" s="48"/>
      <c r="W243" s="48"/>
      <c r="X243" s="48"/>
      <c r="Y243" s="48"/>
      <c r="Z243" s="48"/>
      <c r="AA243" s="48"/>
      <c r="AB243" s="48"/>
      <c r="AC243" s="48"/>
      <c r="AD243" s="48"/>
    </row>
    <row r="244" spans="1:30" ht="15.75" customHeight="1">
      <c r="A244" s="85"/>
      <c r="B244" s="48"/>
      <c r="C244" s="48"/>
      <c r="D244" s="48"/>
      <c r="E244" s="48"/>
      <c r="F244" s="48"/>
      <c r="G244" s="48"/>
      <c r="H244" s="48"/>
      <c r="I244" s="48"/>
      <c r="J244" s="48"/>
      <c r="K244" s="50"/>
      <c r="L244" s="48"/>
      <c r="M244" s="48"/>
      <c r="N244" s="50"/>
      <c r="O244" s="48"/>
      <c r="P244" s="48"/>
      <c r="Q244" s="48"/>
      <c r="R244" s="48"/>
      <c r="S244" s="48"/>
      <c r="T244" s="48"/>
      <c r="U244" s="48"/>
      <c r="V244" s="48"/>
      <c r="W244" s="48"/>
      <c r="X244" s="48"/>
      <c r="Y244" s="48"/>
      <c r="Z244" s="48"/>
      <c r="AA244" s="48"/>
      <c r="AB244" s="48"/>
      <c r="AC244" s="48"/>
      <c r="AD244" s="48"/>
    </row>
    <row r="245" spans="1:30" ht="15.75" customHeight="1">
      <c r="A245" s="85"/>
      <c r="B245" s="48"/>
      <c r="C245" s="48"/>
      <c r="D245" s="48"/>
      <c r="E245" s="48"/>
      <c r="F245" s="48"/>
      <c r="G245" s="48"/>
      <c r="H245" s="48"/>
      <c r="I245" s="48"/>
      <c r="J245" s="48"/>
      <c r="K245" s="50"/>
      <c r="L245" s="48"/>
      <c r="M245" s="48"/>
      <c r="N245" s="50"/>
      <c r="O245" s="48"/>
      <c r="P245" s="48"/>
      <c r="Q245" s="48"/>
      <c r="R245" s="48"/>
      <c r="S245" s="48"/>
      <c r="T245" s="48"/>
      <c r="U245" s="48"/>
      <c r="V245" s="48"/>
      <c r="W245" s="48"/>
      <c r="X245" s="48"/>
      <c r="Y245" s="48"/>
      <c r="Z245" s="48"/>
      <c r="AA245" s="48"/>
      <c r="AB245" s="48"/>
      <c r="AC245" s="48"/>
      <c r="AD245" s="48"/>
    </row>
    <row r="246" spans="1:30" ht="15.75" customHeight="1">
      <c r="A246" s="85"/>
      <c r="B246" s="48"/>
      <c r="C246" s="48"/>
      <c r="D246" s="48"/>
      <c r="E246" s="48"/>
      <c r="F246" s="48"/>
      <c r="G246" s="48"/>
      <c r="H246" s="48"/>
      <c r="I246" s="48"/>
      <c r="J246" s="48"/>
      <c r="K246" s="50"/>
      <c r="L246" s="48"/>
      <c r="M246" s="48"/>
      <c r="N246" s="50"/>
      <c r="O246" s="48"/>
      <c r="P246" s="48"/>
      <c r="Q246" s="48"/>
      <c r="R246" s="48"/>
      <c r="S246" s="48"/>
      <c r="T246" s="48"/>
      <c r="U246" s="48"/>
      <c r="V246" s="48"/>
      <c r="W246" s="48"/>
      <c r="X246" s="48"/>
      <c r="Y246" s="48"/>
      <c r="Z246" s="48"/>
      <c r="AA246" s="48"/>
      <c r="AB246" s="48"/>
      <c r="AC246" s="48"/>
      <c r="AD246" s="48"/>
    </row>
    <row r="247" spans="1:30" ht="15.75" customHeight="1">
      <c r="A247" s="85"/>
      <c r="B247" s="48"/>
      <c r="C247" s="48"/>
      <c r="D247" s="48"/>
      <c r="E247" s="48"/>
      <c r="F247" s="48"/>
      <c r="G247" s="48"/>
      <c r="H247" s="48"/>
      <c r="I247" s="48"/>
      <c r="J247" s="48"/>
      <c r="K247" s="50"/>
      <c r="L247" s="48"/>
      <c r="M247" s="48"/>
      <c r="N247" s="50"/>
      <c r="O247" s="48"/>
      <c r="P247" s="48"/>
      <c r="Q247" s="48"/>
      <c r="R247" s="48"/>
      <c r="S247" s="48"/>
      <c r="T247" s="48"/>
      <c r="U247" s="48"/>
      <c r="V247" s="48"/>
      <c r="W247" s="48"/>
      <c r="X247" s="48"/>
      <c r="Y247" s="48"/>
      <c r="Z247" s="48"/>
      <c r="AA247" s="48"/>
      <c r="AB247" s="48"/>
      <c r="AC247" s="48"/>
      <c r="AD247" s="48"/>
    </row>
    <row r="248" spans="1:30" ht="15.75" customHeight="1">
      <c r="A248" s="85"/>
      <c r="B248" s="48"/>
      <c r="C248" s="48"/>
      <c r="D248" s="48"/>
      <c r="E248" s="48"/>
      <c r="F248" s="48"/>
      <c r="G248" s="48"/>
      <c r="H248" s="48"/>
      <c r="I248" s="48"/>
      <c r="J248" s="48"/>
      <c r="K248" s="50"/>
      <c r="L248" s="48"/>
      <c r="M248" s="48"/>
      <c r="N248" s="50"/>
      <c r="O248" s="48"/>
      <c r="P248" s="48"/>
      <c r="Q248" s="48"/>
      <c r="R248" s="48"/>
      <c r="S248" s="48"/>
      <c r="T248" s="48"/>
      <c r="U248" s="48"/>
      <c r="V248" s="48"/>
      <c r="W248" s="48"/>
      <c r="X248" s="48"/>
      <c r="Y248" s="48"/>
      <c r="Z248" s="48"/>
      <c r="AA248" s="48"/>
      <c r="AB248" s="48"/>
      <c r="AC248" s="48"/>
      <c r="AD248" s="48"/>
    </row>
    <row r="249" spans="1:30" ht="15.75" customHeight="1">
      <c r="A249" s="85"/>
      <c r="B249" s="48"/>
      <c r="C249" s="48"/>
      <c r="D249" s="48"/>
      <c r="E249" s="48"/>
      <c r="F249" s="48"/>
      <c r="G249" s="48"/>
      <c r="H249" s="48"/>
      <c r="I249" s="48"/>
      <c r="J249" s="48"/>
      <c r="K249" s="50"/>
      <c r="L249" s="48"/>
      <c r="M249" s="48"/>
      <c r="N249" s="50"/>
      <c r="O249" s="48"/>
      <c r="P249" s="48"/>
      <c r="Q249" s="48"/>
      <c r="R249" s="48"/>
      <c r="S249" s="48"/>
      <c r="T249" s="48"/>
      <c r="U249" s="48"/>
      <c r="V249" s="48"/>
      <c r="W249" s="48"/>
      <c r="X249" s="48"/>
      <c r="Y249" s="48"/>
      <c r="Z249" s="48"/>
      <c r="AA249" s="48"/>
      <c r="AB249" s="48"/>
      <c r="AC249" s="48"/>
      <c r="AD249" s="48"/>
    </row>
    <row r="250" spans="1:30" ht="15.75" customHeight="1">
      <c r="A250" s="85"/>
      <c r="B250" s="48"/>
      <c r="C250" s="48"/>
      <c r="D250" s="48"/>
      <c r="E250" s="48"/>
      <c r="F250" s="48"/>
      <c r="G250" s="48"/>
      <c r="H250" s="48"/>
      <c r="I250" s="48"/>
      <c r="J250" s="48"/>
      <c r="K250" s="50"/>
      <c r="L250" s="48"/>
      <c r="M250" s="48"/>
      <c r="N250" s="50"/>
      <c r="O250" s="48"/>
      <c r="P250" s="48"/>
      <c r="Q250" s="48"/>
      <c r="R250" s="48"/>
      <c r="S250" s="48"/>
      <c r="T250" s="48"/>
      <c r="U250" s="48"/>
      <c r="V250" s="48"/>
      <c r="W250" s="48"/>
      <c r="X250" s="48"/>
      <c r="Y250" s="48"/>
      <c r="Z250" s="48"/>
      <c r="AA250" s="48"/>
      <c r="AB250" s="48"/>
      <c r="AC250" s="48"/>
      <c r="AD250" s="48"/>
    </row>
    <row r="251" spans="1:30" ht="15.75" customHeight="1"/>
    <row r="252" spans="1:30" ht="15.75" customHeight="1"/>
    <row r="253" spans="1:30" ht="15.75" customHeight="1"/>
    <row r="254" spans="1:30" ht="15.75" customHeight="1"/>
    <row r="255" spans="1:30" ht="15.75" customHeight="1"/>
    <row r="256" spans="1:3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P10:P12"/>
    <mergeCell ref="B10:B12"/>
    <mergeCell ref="B16:B18"/>
    <mergeCell ref="F10:F12"/>
    <mergeCell ref="B13:C13"/>
    <mergeCell ref="K10:M10"/>
    <mergeCell ref="K11:M11"/>
    <mergeCell ref="G10:G12"/>
    <mergeCell ref="H10:H12"/>
    <mergeCell ref="I10:I12"/>
    <mergeCell ref="J10:J12"/>
    <mergeCell ref="B32:B39"/>
    <mergeCell ref="B42:B44"/>
    <mergeCell ref="B45:B46"/>
    <mergeCell ref="N10:N12"/>
    <mergeCell ref="O10:O12"/>
    <mergeCell ref="C1:D1"/>
    <mergeCell ref="A10:A12"/>
    <mergeCell ref="C10:C12"/>
    <mergeCell ref="D10:D12"/>
    <mergeCell ref="E10:E12"/>
    <mergeCell ref="B56:D56"/>
    <mergeCell ref="B57:D57"/>
    <mergeCell ref="B14:P14"/>
    <mergeCell ref="B15:P15"/>
    <mergeCell ref="B21:P21"/>
    <mergeCell ref="B22:P22"/>
    <mergeCell ref="B31:P31"/>
    <mergeCell ref="B40:P40"/>
    <mergeCell ref="B47:P47"/>
    <mergeCell ref="B49:P49"/>
    <mergeCell ref="B52:F52"/>
    <mergeCell ref="B53:F53"/>
    <mergeCell ref="B54:K54"/>
    <mergeCell ref="B55:F55"/>
    <mergeCell ref="B19:B20"/>
    <mergeCell ref="B23:B30"/>
  </mergeCells>
  <dataValidations count="3">
    <dataValidation type="list" allowBlank="1" sqref="K16:M20 K23:M30 K32:M39 K41:M46 K48:M48 K50:M50" xr:uid="{00000000-0002-0000-0200-000000000000}">
      <formula1>"P,F,PE"</formula1>
    </dataValidation>
    <dataValidation type="list" allowBlank="1" sqref="H16:H20 H23:H30 H32:H39 H41:H46 H48 H50" xr:uid="{00000000-0002-0000-0200-000001000000}">
      <formula1>"NONE,HIGHEST,HIGH,MEDIUM,LOW,LOWEST"</formula1>
    </dataValidation>
    <dataValidation type="list" allowBlank="1" sqref="I16:I20 I23:I30 I32:I39 I41:I46 I48 I50" xr:uid="{00000000-0002-0000-0200-000002000000}">
      <formula1>"CRITICAL,MAJOR,MINOR"</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A84F"/>
    <outlinePr summaryBelow="0" summaryRight="0"/>
  </sheetPr>
  <dimension ref="A1:AD1000"/>
  <sheetViews>
    <sheetView workbookViewId="0"/>
  </sheetViews>
  <sheetFormatPr defaultColWidth="12.5703125" defaultRowHeight="15" customHeight="1" outlineLevelRow="3"/>
  <cols>
    <col min="1" max="1" width="12.5703125" customWidth="1"/>
    <col min="2" max="2" width="39.140625" customWidth="1"/>
    <col min="3" max="3" width="32.7109375" customWidth="1"/>
    <col min="4" max="4" width="40.28515625" customWidth="1"/>
    <col min="5" max="5" width="37.28515625" customWidth="1"/>
    <col min="6" max="6" width="26.7109375" customWidth="1"/>
    <col min="7" max="7" width="39.42578125" customWidth="1"/>
  </cols>
  <sheetData>
    <row r="1" spans="1:30" ht="26.25">
      <c r="A1" s="48"/>
      <c r="B1" s="48"/>
      <c r="C1" s="139" t="s">
        <v>38</v>
      </c>
      <c r="D1" s="130"/>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155</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156</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COUNTIF($N$13:$N$169,"P")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COUNTIF($N$13:$N$169,"F")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COUNTIF($N$13:$N$169,"PE")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11</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COUNTA($G$13:$G$169)</f>
        <v>11</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12.75">
      <c r="A10" s="140" t="s">
        <v>48</v>
      </c>
      <c r="B10" s="140" t="s">
        <v>49</v>
      </c>
      <c r="C10" s="140" t="s">
        <v>50</v>
      </c>
      <c r="D10" s="140" t="s">
        <v>51</v>
      </c>
      <c r="E10" s="140" t="s">
        <v>52</v>
      </c>
      <c r="F10" s="140" t="s">
        <v>53</v>
      </c>
      <c r="G10" s="140" t="s">
        <v>54</v>
      </c>
      <c r="H10" s="140" t="s">
        <v>55</v>
      </c>
      <c r="I10" s="140" t="s">
        <v>56</v>
      </c>
      <c r="J10" s="140" t="s">
        <v>57</v>
      </c>
      <c r="K10" s="149" t="s">
        <v>58</v>
      </c>
      <c r="L10" s="121"/>
      <c r="M10" s="122"/>
      <c r="N10" s="140" t="s">
        <v>59</v>
      </c>
      <c r="O10" s="140" t="s">
        <v>60</v>
      </c>
      <c r="P10" s="140" t="s">
        <v>61</v>
      </c>
      <c r="Q10" s="48"/>
      <c r="R10" s="48"/>
      <c r="S10" s="48"/>
      <c r="T10" s="48"/>
      <c r="U10" s="48"/>
      <c r="V10" s="48"/>
      <c r="W10" s="48"/>
      <c r="X10" s="48"/>
      <c r="Y10" s="48"/>
      <c r="Z10" s="48"/>
      <c r="AA10" s="48"/>
      <c r="AB10" s="48"/>
      <c r="AC10" s="48"/>
      <c r="AD10" s="48"/>
    </row>
    <row r="11" spans="1:30" ht="12.75">
      <c r="A11" s="141"/>
      <c r="B11" s="141"/>
      <c r="C11" s="141"/>
      <c r="D11" s="141"/>
      <c r="E11" s="141"/>
      <c r="F11" s="141"/>
      <c r="G11" s="141"/>
      <c r="H11" s="141"/>
      <c r="I11" s="141"/>
      <c r="J11" s="141"/>
      <c r="K11" s="150" t="s">
        <v>62</v>
      </c>
      <c r="L11" s="136"/>
      <c r="M11" s="137"/>
      <c r="N11" s="141"/>
      <c r="O11" s="141"/>
      <c r="P11" s="141"/>
      <c r="Q11" s="48"/>
      <c r="R11" s="48"/>
      <c r="S11" s="48"/>
      <c r="T11" s="48"/>
      <c r="U11" s="48"/>
      <c r="V11" s="48"/>
      <c r="W11" s="48"/>
      <c r="X11" s="48"/>
      <c r="Y11" s="48"/>
      <c r="Z11" s="48"/>
      <c r="AA11" s="48"/>
      <c r="AB11" s="48"/>
      <c r="AC11" s="48"/>
      <c r="AD11" s="48"/>
    </row>
    <row r="12" spans="1:30" ht="15.75">
      <c r="A12" s="142"/>
      <c r="B12" s="142"/>
      <c r="C12" s="142"/>
      <c r="D12" s="142"/>
      <c r="E12" s="142"/>
      <c r="F12" s="142"/>
      <c r="G12" s="142"/>
      <c r="H12" s="142"/>
      <c r="I12" s="142"/>
      <c r="J12" s="142"/>
      <c r="K12" s="57" t="s">
        <v>63</v>
      </c>
      <c r="L12" s="57" t="s">
        <v>64</v>
      </c>
      <c r="M12" s="57" t="s">
        <v>65</v>
      </c>
      <c r="N12" s="142"/>
      <c r="O12" s="142"/>
      <c r="P12" s="142"/>
      <c r="Q12" s="48"/>
      <c r="R12" s="48"/>
      <c r="S12" s="48"/>
      <c r="T12" s="48"/>
      <c r="U12" s="48"/>
      <c r="V12" s="48"/>
      <c r="W12" s="48"/>
      <c r="X12" s="48"/>
      <c r="Y12" s="48"/>
      <c r="Z12" s="48"/>
      <c r="AA12" s="48"/>
      <c r="AB12" s="48"/>
      <c r="AC12" s="48"/>
      <c r="AD12" s="48"/>
    </row>
    <row r="13" spans="1:30" ht="48" customHeight="1">
      <c r="A13" s="58"/>
      <c r="B13" s="148" t="s">
        <v>157</v>
      </c>
      <c r="C13" s="122"/>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15.75">
      <c r="A14" s="61" t="str">
        <f t="shared" ref="A14:A33" si="0">IF(AND(G14="",G14=""),"",$D$3&amp;"_"&amp;ROW()-13-COUNTBLANK($G$14:G14))</f>
        <v/>
      </c>
      <c r="B14" s="133" t="s">
        <v>67</v>
      </c>
      <c r="C14" s="121"/>
      <c r="D14" s="121"/>
      <c r="E14" s="121"/>
      <c r="F14" s="121"/>
      <c r="G14" s="121"/>
      <c r="H14" s="121"/>
      <c r="I14" s="121"/>
      <c r="J14" s="121"/>
      <c r="K14" s="121"/>
      <c r="L14" s="121"/>
      <c r="M14" s="121"/>
      <c r="N14" s="121"/>
      <c r="O14" s="121"/>
      <c r="P14" s="122"/>
      <c r="Q14" s="48"/>
      <c r="R14" s="48"/>
      <c r="S14" s="48"/>
      <c r="T14" s="48"/>
      <c r="U14" s="48"/>
      <c r="V14" s="48"/>
      <c r="W14" s="48"/>
      <c r="X14" s="48"/>
      <c r="Y14" s="48"/>
      <c r="Z14" s="48"/>
      <c r="AA14" s="48"/>
      <c r="AB14" s="48"/>
      <c r="AC14" s="48"/>
      <c r="AD14" s="48"/>
    </row>
    <row r="15" spans="1:30" ht="15.75" outlineLevel="1">
      <c r="A15" s="61" t="str">
        <f t="shared" si="0"/>
        <v/>
      </c>
      <c r="B15" s="134" t="s">
        <v>68</v>
      </c>
      <c r="C15" s="121"/>
      <c r="D15" s="121"/>
      <c r="E15" s="121"/>
      <c r="F15" s="121"/>
      <c r="G15" s="121"/>
      <c r="H15" s="121"/>
      <c r="I15" s="121"/>
      <c r="J15" s="121"/>
      <c r="K15" s="121"/>
      <c r="L15" s="121"/>
      <c r="M15" s="121"/>
      <c r="N15" s="121"/>
      <c r="O15" s="121"/>
      <c r="P15" s="122"/>
      <c r="Q15" s="48"/>
      <c r="R15" s="48"/>
      <c r="S15" s="48"/>
      <c r="T15" s="48"/>
      <c r="U15" s="48"/>
      <c r="V15" s="48"/>
      <c r="W15" s="48"/>
      <c r="X15" s="48"/>
      <c r="Y15" s="48"/>
      <c r="Z15" s="48"/>
      <c r="AA15" s="48"/>
      <c r="AB15" s="48"/>
      <c r="AC15" s="48"/>
      <c r="AD15" s="48"/>
    </row>
    <row r="16" spans="1:30" ht="47.25" outlineLevel="2">
      <c r="A16" s="61" t="str">
        <f t="shared" si="0"/>
        <v>AU2_1</v>
      </c>
      <c r="B16" s="146" t="s">
        <v>69</v>
      </c>
      <c r="C16" s="63" t="s">
        <v>70</v>
      </c>
      <c r="D16" s="64" t="s">
        <v>158</v>
      </c>
      <c r="E16" s="63"/>
      <c r="F16" s="63" t="s">
        <v>159</v>
      </c>
      <c r="G16" s="63" t="s">
        <v>160</v>
      </c>
      <c r="H16" s="61" t="s">
        <v>74</v>
      </c>
      <c r="I16" s="61" t="s">
        <v>75</v>
      </c>
      <c r="J16" s="65"/>
      <c r="K16" s="65"/>
      <c r="L16" s="65"/>
      <c r="M16" s="66"/>
      <c r="N16" s="67" t="str">
        <f t="shared" ref="N16:N18" si="1">IF(OR(IF(M16="",IF(L16="",IF(K16="","",K16), L16),M16)="F")=TRUE,"F",
IF(OR( IF(M16="",IF(L16="",IF(K16="","",K16), L16),M16)="PE")=TRUE,"PE",
IF(AND(IF(M16="",IF(L16="",IF(K16="","",K16), L16),M16)="")=TRUE,"","P")))</f>
        <v/>
      </c>
      <c r="O16" s="68"/>
      <c r="P16" s="68"/>
      <c r="Q16" s="48"/>
      <c r="R16" s="48"/>
      <c r="S16" s="48"/>
      <c r="T16" s="48"/>
      <c r="U16" s="48"/>
      <c r="V16" s="48"/>
      <c r="W16" s="48"/>
      <c r="X16" s="48"/>
      <c r="Y16" s="48"/>
      <c r="Z16" s="48"/>
      <c r="AA16" s="48"/>
      <c r="AB16" s="48"/>
      <c r="AC16" s="48"/>
      <c r="AD16" s="48"/>
    </row>
    <row r="17" spans="1:30" ht="47.25" outlineLevel="2">
      <c r="A17" s="61" t="str">
        <f t="shared" si="0"/>
        <v>AU2_2</v>
      </c>
      <c r="B17" s="141"/>
      <c r="C17" s="63" t="s">
        <v>76</v>
      </c>
      <c r="D17" s="68" t="s">
        <v>77</v>
      </c>
      <c r="E17" s="63"/>
      <c r="F17" s="63" t="s">
        <v>161</v>
      </c>
      <c r="G17" s="63" t="s">
        <v>160</v>
      </c>
      <c r="H17" s="65" t="s">
        <v>74</v>
      </c>
      <c r="I17" s="65" t="s">
        <v>75</v>
      </c>
      <c r="J17" s="65"/>
      <c r="K17" s="65"/>
      <c r="L17" s="65"/>
      <c r="M17" s="66"/>
      <c r="N17" s="67" t="str">
        <f t="shared" si="1"/>
        <v/>
      </c>
      <c r="O17" s="68"/>
      <c r="P17" s="68"/>
      <c r="Q17" s="48"/>
      <c r="R17" s="48"/>
      <c r="S17" s="48"/>
      <c r="T17" s="48"/>
      <c r="U17" s="48"/>
      <c r="V17" s="48"/>
      <c r="W17" s="48"/>
      <c r="X17" s="48"/>
      <c r="Y17" s="48"/>
      <c r="Z17" s="48"/>
      <c r="AA17" s="48"/>
      <c r="AB17" s="48"/>
      <c r="AC17" s="48"/>
      <c r="AD17" s="48"/>
    </row>
    <row r="18" spans="1:30" ht="162.75" customHeight="1" outlineLevel="2">
      <c r="A18" s="61" t="str">
        <f t="shared" si="0"/>
        <v>AU2_3</v>
      </c>
      <c r="B18" s="141"/>
      <c r="C18" s="69" t="s">
        <v>162</v>
      </c>
      <c r="D18" s="70" t="s">
        <v>163</v>
      </c>
      <c r="E18" s="69"/>
      <c r="F18" s="69" t="s">
        <v>164</v>
      </c>
      <c r="G18" s="69" t="s">
        <v>165</v>
      </c>
      <c r="H18" s="71" t="s">
        <v>83</v>
      </c>
      <c r="I18" s="71" t="s">
        <v>75</v>
      </c>
      <c r="J18" s="71"/>
      <c r="K18" s="72"/>
      <c r="L18" s="72"/>
      <c r="M18" s="73"/>
      <c r="N18" s="74" t="str">
        <f t="shared" si="1"/>
        <v/>
      </c>
      <c r="O18" s="70"/>
      <c r="P18" s="70"/>
      <c r="Q18" s="48"/>
      <c r="R18" s="48"/>
      <c r="S18" s="48"/>
      <c r="T18" s="48"/>
      <c r="U18" s="48"/>
      <c r="V18" s="48"/>
      <c r="W18" s="48"/>
      <c r="X18" s="48"/>
      <c r="Y18" s="48"/>
      <c r="Z18" s="48"/>
      <c r="AA18" s="48"/>
      <c r="AB18" s="48"/>
      <c r="AC18" s="48"/>
      <c r="AD18" s="48"/>
    </row>
    <row r="19" spans="1:30" ht="178.5" customHeight="1" outlineLevel="2">
      <c r="A19" s="61" t="str">
        <f t="shared" si="0"/>
        <v>AU2_4</v>
      </c>
      <c r="B19" s="143" t="s">
        <v>84</v>
      </c>
      <c r="C19" s="63" t="s">
        <v>85</v>
      </c>
      <c r="D19" s="68" t="s">
        <v>166</v>
      </c>
      <c r="E19" s="63"/>
      <c r="F19" s="69" t="s">
        <v>87</v>
      </c>
      <c r="G19" s="69" t="s">
        <v>165</v>
      </c>
      <c r="H19" s="71" t="s">
        <v>83</v>
      </c>
      <c r="I19" s="71" t="s">
        <v>75</v>
      </c>
      <c r="J19" s="65"/>
      <c r="K19" s="65"/>
      <c r="L19" s="65"/>
      <c r="M19" s="68"/>
      <c r="N19" s="67"/>
      <c r="O19" s="68"/>
      <c r="P19" s="68"/>
      <c r="Q19" s="75"/>
      <c r="R19" s="75"/>
      <c r="S19" s="75"/>
      <c r="T19" s="75"/>
      <c r="U19" s="75"/>
      <c r="V19" s="75"/>
      <c r="W19" s="75"/>
      <c r="X19" s="75"/>
      <c r="Y19" s="75"/>
      <c r="Z19" s="75"/>
      <c r="AA19" s="75"/>
      <c r="AB19" s="75"/>
      <c r="AC19" s="75"/>
      <c r="AD19" s="75"/>
    </row>
    <row r="20" spans="1:30" ht="189" outlineLevel="2">
      <c r="A20" s="61" t="str">
        <f t="shared" si="0"/>
        <v>AU2_5</v>
      </c>
      <c r="B20" s="142"/>
      <c r="C20" s="63" t="s">
        <v>88</v>
      </c>
      <c r="D20" s="68" t="s">
        <v>167</v>
      </c>
      <c r="E20" s="63"/>
      <c r="F20" s="69" t="s">
        <v>90</v>
      </c>
      <c r="G20" s="63" t="s">
        <v>160</v>
      </c>
      <c r="H20" s="65" t="s">
        <v>74</v>
      </c>
      <c r="I20" s="65" t="s">
        <v>75</v>
      </c>
      <c r="J20" s="65"/>
      <c r="K20" s="65"/>
      <c r="L20" s="65"/>
      <c r="M20" s="68"/>
      <c r="N20" s="67"/>
      <c r="O20" s="68"/>
      <c r="P20" s="68"/>
      <c r="Q20" s="75"/>
      <c r="R20" s="75"/>
      <c r="S20" s="75"/>
      <c r="T20" s="75"/>
      <c r="U20" s="75"/>
      <c r="V20" s="75"/>
      <c r="W20" s="75"/>
      <c r="X20" s="75"/>
      <c r="Y20" s="75"/>
      <c r="Z20" s="75"/>
      <c r="AA20" s="75"/>
      <c r="AB20" s="75"/>
      <c r="AC20" s="75"/>
      <c r="AD20" s="75"/>
    </row>
    <row r="21" spans="1:30" ht="15.75" customHeight="1" outlineLevel="1">
      <c r="A21" s="61" t="str">
        <f t="shared" si="0"/>
        <v/>
      </c>
      <c r="B21" s="135" t="s">
        <v>91</v>
      </c>
      <c r="C21" s="136"/>
      <c r="D21" s="136"/>
      <c r="E21" s="136"/>
      <c r="F21" s="136"/>
      <c r="G21" s="136"/>
      <c r="H21" s="136"/>
      <c r="I21" s="136"/>
      <c r="J21" s="136"/>
      <c r="K21" s="136"/>
      <c r="L21" s="136"/>
      <c r="M21" s="136"/>
      <c r="N21" s="136"/>
      <c r="O21" s="136"/>
      <c r="P21" s="137"/>
      <c r="Q21" s="48"/>
      <c r="R21" s="48"/>
      <c r="S21" s="48"/>
      <c r="T21" s="48"/>
      <c r="U21" s="48"/>
      <c r="V21" s="48"/>
      <c r="W21" s="48"/>
      <c r="X21" s="48"/>
      <c r="Y21" s="48"/>
      <c r="Z21" s="48"/>
      <c r="AA21" s="48"/>
      <c r="AB21" s="48"/>
      <c r="AC21" s="48"/>
      <c r="AD21" s="48"/>
    </row>
    <row r="22" spans="1:30" ht="15.75" customHeight="1" outlineLevel="2">
      <c r="A22" s="61" t="str">
        <f t="shared" si="0"/>
        <v/>
      </c>
      <c r="B22" s="138" t="s">
        <v>168</v>
      </c>
      <c r="C22" s="121"/>
      <c r="D22" s="121"/>
      <c r="E22" s="121"/>
      <c r="F22" s="121"/>
      <c r="G22" s="121"/>
      <c r="H22" s="121"/>
      <c r="I22" s="121"/>
      <c r="J22" s="121"/>
      <c r="K22" s="121"/>
      <c r="L22" s="121"/>
      <c r="M22" s="121"/>
      <c r="N22" s="121"/>
      <c r="O22" s="121"/>
      <c r="P22" s="122"/>
      <c r="Q22" s="75"/>
      <c r="R22" s="75"/>
      <c r="S22" s="75"/>
      <c r="T22" s="75"/>
      <c r="U22" s="75"/>
      <c r="V22" s="75"/>
      <c r="W22" s="75"/>
      <c r="X22" s="75"/>
      <c r="Y22" s="75"/>
      <c r="Z22" s="75"/>
      <c r="AA22" s="75"/>
      <c r="AB22" s="75"/>
      <c r="AC22" s="75"/>
      <c r="AD22" s="75"/>
    </row>
    <row r="23" spans="1:30" ht="15.75" customHeight="1" outlineLevel="3">
      <c r="A23" s="61" t="str">
        <f t="shared" si="0"/>
        <v>AU2_6</v>
      </c>
      <c r="B23" s="144" t="s">
        <v>169</v>
      </c>
      <c r="C23" s="68" t="s">
        <v>170</v>
      </c>
      <c r="D23" s="68" t="s">
        <v>171</v>
      </c>
      <c r="E23" s="63"/>
      <c r="F23" s="68" t="s">
        <v>172</v>
      </c>
      <c r="G23" s="68" t="s">
        <v>96</v>
      </c>
      <c r="H23" s="65" t="s">
        <v>74</v>
      </c>
      <c r="I23" s="65" t="s">
        <v>75</v>
      </c>
      <c r="J23" s="65"/>
      <c r="K23" s="65"/>
      <c r="L23" s="65"/>
      <c r="M23" s="66"/>
      <c r="N23" s="67" t="str">
        <f t="shared" ref="N23:N25" si="2">IF(OR(IF(M23="",IF(L23="",IF(K23="","",K23), L23),M23)="F")=TRUE,"F",
IF(OR( IF(M23="",IF(L23="",IF(K23="","",K23), L23),M23)="PE")=TRUE,"PE",
IF(AND(IF(M23="",IF(L23="",IF(K23="","",K23), L23),M23)="")=TRUE,"","P")))</f>
        <v/>
      </c>
      <c r="O23" s="68"/>
      <c r="P23" s="68"/>
      <c r="Q23" s="75"/>
      <c r="R23" s="75"/>
      <c r="S23" s="75"/>
      <c r="T23" s="75"/>
      <c r="U23" s="75"/>
      <c r="V23" s="75"/>
      <c r="W23" s="75"/>
      <c r="X23" s="75"/>
      <c r="Y23" s="75"/>
      <c r="Z23" s="75"/>
      <c r="AA23" s="75"/>
      <c r="AB23" s="75"/>
      <c r="AC23" s="75"/>
      <c r="AD23" s="75"/>
    </row>
    <row r="24" spans="1:30" ht="87.75" customHeight="1" outlineLevel="3">
      <c r="A24" s="61" t="str">
        <f t="shared" si="0"/>
        <v>AU2_7</v>
      </c>
      <c r="B24" s="141"/>
      <c r="C24" s="68" t="s">
        <v>173</v>
      </c>
      <c r="D24" s="68" t="s">
        <v>163</v>
      </c>
      <c r="E24" s="63" t="s">
        <v>174</v>
      </c>
      <c r="F24" s="68" t="s">
        <v>172</v>
      </c>
      <c r="G24" s="69" t="s">
        <v>165</v>
      </c>
      <c r="H24" s="65" t="s">
        <v>83</v>
      </c>
      <c r="I24" s="65" t="s">
        <v>75</v>
      </c>
      <c r="J24" s="65"/>
      <c r="K24" s="65"/>
      <c r="L24" s="65"/>
      <c r="M24" s="66"/>
      <c r="N24" s="67" t="str">
        <f t="shared" si="2"/>
        <v/>
      </c>
      <c r="O24" s="68"/>
      <c r="P24" s="68"/>
      <c r="Q24" s="75"/>
      <c r="R24" s="75"/>
      <c r="S24" s="75"/>
      <c r="T24" s="75"/>
      <c r="U24" s="75"/>
      <c r="V24" s="75"/>
      <c r="W24" s="75"/>
      <c r="X24" s="75"/>
      <c r="Y24" s="75"/>
      <c r="Z24" s="75"/>
      <c r="AA24" s="75"/>
      <c r="AB24" s="75"/>
      <c r="AC24" s="75"/>
      <c r="AD24" s="75"/>
    </row>
    <row r="25" spans="1:30" ht="96" customHeight="1" outlineLevel="3">
      <c r="A25" s="61" t="str">
        <f t="shared" si="0"/>
        <v>AU2_8</v>
      </c>
      <c r="B25" s="142"/>
      <c r="C25" s="68" t="s">
        <v>175</v>
      </c>
      <c r="D25" s="68" t="s">
        <v>163</v>
      </c>
      <c r="E25" s="63"/>
      <c r="F25" s="68" t="s">
        <v>172</v>
      </c>
      <c r="G25" s="68" t="s">
        <v>96</v>
      </c>
      <c r="H25" s="65" t="s">
        <v>74</v>
      </c>
      <c r="I25" s="65" t="s">
        <v>75</v>
      </c>
      <c r="J25" s="65"/>
      <c r="K25" s="65"/>
      <c r="L25" s="65"/>
      <c r="M25" s="66"/>
      <c r="N25" s="67" t="str">
        <f t="shared" si="2"/>
        <v/>
      </c>
      <c r="O25" s="68"/>
      <c r="P25" s="68"/>
      <c r="Q25" s="75"/>
      <c r="R25" s="75"/>
      <c r="S25" s="75"/>
      <c r="T25" s="75"/>
      <c r="U25" s="75"/>
      <c r="V25" s="75"/>
      <c r="W25" s="75"/>
      <c r="X25" s="75"/>
      <c r="Y25" s="75"/>
      <c r="Z25" s="75"/>
      <c r="AA25" s="75"/>
      <c r="AB25" s="75"/>
      <c r="AC25" s="75"/>
      <c r="AD25" s="75"/>
    </row>
    <row r="26" spans="1:30" ht="15.75" customHeight="1">
      <c r="A26" s="61" t="str">
        <f t="shared" si="0"/>
        <v/>
      </c>
      <c r="B26" s="133" t="s">
        <v>130</v>
      </c>
      <c r="C26" s="121"/>
      <c r="D26" s="121"/>
      <c r="E26" s="121"/>
      <c r="F26" s="121"/>
      <c r="G26" s="121"/>
      <c r="H26" s="121"/>
      <c r="I26" s="121"/>
      <c r="J26" s="121"/>
      <c r="K26" s="121"/>
      <c r="L26" s="121"/>
      <c r="M26" s="121"/>
      <c r="N26" s="121"/>
      <c r="O26" s="121"/>
      <c r="P26" s="122"/>
      <c r="Q26" s="48"/>
      <c r="R26" s="48"/>
      <c r="S26" s="48"/>
      <c r="T26" s="48"/>
      <c r="U26" s="48"/>
      <c r="V26" s="48"/>
      <c r="W26" s="48"/>
      <c r="X26" s="48"/>
      <c r="Y26" s="48"/>
      <c r="Z26" s="48"/>
      <c r="AA26" s="48"/>
      <c r="AB26" s="48"/>
      <c r="AC26" s="48"/>
      <c r="AD26" s="48"/>
    </row>
    <row r="27" spans="1:30" ht="15.75" customHeight="1" outlineLevel="1">
      <c r="A27" s="61" t="str">
        <f t="shared" si="0"/>
        <v>AU2_9</v>
      </c>
      <c r="B27" s="62" t="s">
        <v>176</v>
      </c>
      <c r="C27" s="68" t="s">
        <v>177</v>
      </c>
      <c r="D27" s="68" t="s">
        <v>163</v>
      </c>
      <c r="E27" s="63"/>
      <c r="F27" s="68" t="s">
        <v>133</v>
      </c>
      <c r="G27" s="69" t="s">
        <v>165</v>
      </c>
      <c r="H27" s="65" t="s">
        <v>83</v>
      </c>
      <c r="I27" s="65" t="s">
        <v>75</v>
      </c>
      <c r="J27" s="65"/>
      <c r="K27" s="65"/>
      <c r="L27" s="65"/>
      <c r="M27" s="66"/>
      <c r="N27" s="67" t="str">
        <f t="shared" ref="N27:N28" si="3">IF(OR(IF(M27="",IF(L27="",IF(K27="","",K27), L27),M27)="F")=TRUE,"F",
IF(OR( IF(M27="",IF(L27="",IF(K27="","",K27), L27),M27)="PE")=TRUE,"PE",
IF(AND(IF(M27="",IF(L27="",IF(K27="","",K27), L27),M27)="")=TRUE,"","P")))</f>
        <v/>
      </c>
      <c r="O27" s="68"/>
      <c r="P27" s="68"/>
      <c r="Q27" s="48"/>
      <c r="R27" s="48"/>
      <c r="S27" s="48"/>
      <c r="T27" s="48"/>
      <c r="U27" s="48"/>
      <c r="V27" s="48"/>
      <c r="W27" s="48"/>
      <c r="X27" s="48"/>
      <c r="Y27" s="48"/>
      <c r="Z27" s="48"/>
      <c r="AA27" s="48"/>
      <c r="AB27" s="48"/>
      <c r="AC27" s="48"/>
      <c r="AD27" s="48"/>
    </row>
    <row r="28" spans="1:30" ht="15.75" customHeight="1" outlineLevel="1">
      <c r="A28" s="86" t="str">
        <f t="shared" si="0"/>
        <v>AU2_10</v>
      </c>
      <c r="B28" s="70" t="s">
        <v>178</v>
      </c>
      <c r="C28" s="87" t="s">
        <v>179</v>
      </c>
      <c r="D28" s="70" t="s">
        <v>163</v>
      </c>
      <c r="E28" s="78"/>
      <c r="F28" s="88" t="s">
        <v>133</v>
      </c>
      <c r="G28" s="68" t="s">
        <v>96</v>
      </c>
      <c r="H28" s="71" t="s">
        <v>83</v>
      </c>
      <c r="I28" s="71" t="s">
        <v>75</v>
      </c>
      <c r="J28" s="71"/>
      <c r="K28" s="72"/>
      <c r="L28" s="72"/>
      <c r="M28" s="73"/>
      <c r="N28" s="74" t="str">
        <f t="shared" si="3"/>
        <v/>
      </c>
      <c r="O28" s="70"/>
      <c r="P28" s="70"/>
      <c r="Q28" s="48"/>
      <c r="R28" s="48"/>
      <c r="S28" s="48"/>
      <c r="T28" s="48"/>
      <c r="U28" s="48"/>
      <c r="V28" s="48"/>
      <c r="W28" s="48"/>
      <c r="X28" s="48"/>
      <c r="Y28" s="48"/>
      <c r="Z28" s="48"/>
      <c r="AA28" s="48"/>
      <c r="AB28" s="48"/>
      <c r="AC28" s="48"/>
      <c r="AD28" s="48"/>
    </row>
    <row r="29" spans="1:30" ht="15.75" customHeight="1" outlineLevel="1">
      <c r="A29" s="61" t="str">
        <f t="shared" si="0"/>
        <v>AU2_11</v>
      </c>
      <c r="B29" s="68" t="s">
        <v>180</v>
      </c>
      <c r="C29" s="68" t="s">
        <v>181</v>
      </c>
      <c r="D29" s="68" t="s">
        <v>163</v>
      </c>
      <c r="E29" s="63"/>
      <c r="F29" s="68" t="s">
        <v>133</v>
      </c>
      <c r="G29" s="68" t="s">
        <v>142</v>
      </c>
      <c r="H29" s="65" t="s">
        <v>83</v>
      </c>
      <c r="I29" s="65" t="s">
        <v>75</v>
      </c>
      <c r="J29" s="65"/>
      <c r="K29" s="65"/>
      <c r="L29" s="65"/>
      <c r="M29" s="66"/>
      <c r="N29" s="67"/>
      <c r="O29" s="68"/>
      <c r="P29" s="68"/>
      <c r="Q29" s="48"/>
      <c r="R29" s="48"/>
      <c r="S29" s="48"/>
      <c r="T29" s="48"/>
      <c r="U29" s="48"/>
      <c r="V29" s="48"/>
      <c r="W29" s="48"/>
      <c r="X29" s="48"/>
      <c r="Y29" s="48"/>
      <c r="Z29" s="48"/>
      <c r="AA29" s="48"/>
      <c r="AB29" s="48"/>
      <c r="AC29" s="48"/>
      <c r="AD29" s="48"/>
    </row>
    <row r="30" spans="1:30" ht="15.75" customHeight="1">
      <c r="A30" s="89" t="str">
        <f t="shared" si="0"/>
        <v/>
      </c>
      <c r="B30" s="151" t="s">
        <v>152</v>
      </c>
      <c r="C30" s="136"/>
      <c r="D30" s="136"/>
      <c r="E30" s="136"/>
      <c r="F30" s="136"/>
      <c r="G30" s="136"/>
      <c r="H30" s="136"/>
      <c r="I30" s="136"/>
      <c r="J30" s="136"/>
      <c r="K30" s="136"/>
      <c r="L30" s="136"/>
      <c r="M30" s="136"/>
      <c r="N30" s="136"/>
      <c r="O30" s="136"/>
      <c r="P30" s="137"/>
      <c r="Q30" s="48"/>
      <c r="R30" s="48"/>
      <c r="S30" s="48"/>
      <c r="T30" s="48"/>
      <c r="U30" s="48"/>
      <c r="V30" s="48"/>
      <c r="W30" s="48"/>
      <c r="X30" s="48"/>
      <c r="Y30" s="48"/>
      <c r="Z30" s="48"/>
      <c r="AA30" s="48"/>
      <c r="AB30" s="48"/>
      <c r="AC30" s="48"/>
      <c r="AD30" s="48"/>
    </row>
    <row r="31" spans="1:30" ht="15.75" customHeight="1" outlineLevel="1">
      <c r="A31" s="61" t="str">
        <f t="shared" si="0"/>
        <v/>
      </c>
      <c r="B31" s="68" t="s">
        <v>153</v>
      </c>
      <c r="C31" s="68"/>
      <c r="D31" s="68"/>
      <c r="E31" s="63"/>
      <c r="F31" s="63"/>
      <c r="G31" s="63"/>
      <c r="H31" s="63"/>
      <c r="I31" s="63"/>
      <c r="J31" s="63"/>
      <c r="K31" s="65"/>
      <c r="L31" s="65"/>
      <c r="M31" s="66"/>
      <c r="N31" s="67" t="str">
        <f>IF(OR(IF(M31="",IF(L31="",IF(K31="","",K31), L31),M31)="F")=TRUE,"F",
IF(OR( IF(M31="",IF(L31="",IF(K31="","",K31), L31),M31)="PE")=TRUE,"PE",
IF(AND(IF(M31="",IF(L31="",IF(K31="","",K31), L31),M31)="")=TRUE,"","P")))</f>
        <v/>
      </c>
      <c r="O31" s="63"/>
      <c r="P31" s="63"/>
      <c r="Q31" s="48"/>
      <c r="R31" s="48"/>
      <c r="S31" s="48"/>
      <c r="T31" s="48"/>
      <c r="U31" s="48"/>
      <c r="V31" s="48"/>
      <c r="W31" s="48"/>
      <c r="X31" s="48"/>
      <c r="Y31" s="48"/>
      <c r="Z31" s="48"/>
      <c r="AA31" s="48"/>
      <c r="AB31" s="48"/>
      <c r="AC31" s="48"/>
      <c r="AD31" s="48"/>
    </row>
    <row r="32" spans="1:30" ht="15.75" customHeight="1">
      <c r="A32" s="61" t="str">
        <f t="shared" si="0"/>
        <v/>
      </c>
      <c r="B32" s="133" t="s">
        <v>154</v>
      </c>
      <c r="C32" s="121"/>
      <c r="D32" s="121"/>
      <c r="E32" s="121"/>
      <c r="F32" s="121"/>
      <c r="G32" s="121"/>
      <c r="H32" s="121"/>
      <c r="I32" s="121"/>
      <c r="J32" s="121"/>
      <c r="K32" s="121"/>
      <c r="L32" s="121"/>
      <c r="M32" s="121"/>
      <c r="N32" s="121"/>
      <c r="O32" s="121"/>
      <c r="P32" s="122"/>
      <c r="Q32" s="48"/>
      <c r="R32" s="48"/>
      <c r="S32" s="48"/>
      <c r="T32" s="48"/>
      <c r="U32" s="48"/>
      <c r="V32" s="48"/>
      <c r="W32" s="48"/>
      <c r="X32" s="48"/>
      <c r="Y32" s="48"/>
      <c r="Z32" s="48"/>
      <c r="AA32" s="48"/>
      <c r="AB32" s="48"/>
      <c r="AC32" s="48"/>
      <c r="AD32" s="48"/>
    </row>
    <row r="33" spans="1:30" ht="15.75" customHeight="1" outlineLevel="1">
      <c r="A33" s="61" t="str">
        <f t="shared" si="0"/>
        <v/>
      </c>
      <c r="B33" s="68" t="s">
        <v>153</v>
      </c>
      <c r="C33" s="68"/>
      <c r="D33" s="68"/>
      <c r="E33" s="63"/>
      <c r="F33" s="63"/>
      <c r="G33" s="68"/>
      <c r="H33" s="68"/>
      <c r="I33" s="68"/>
      <c r="J33" s="68"/>
      <c r="K33" s="65"/>
      <c r="L33" s="65"/>
      <c r="M33" s="66"/>
      <c r="N33" s="67" t="str">
        <f>IF(OR(IF(M33="",IF(L33="",IF(K33="","",K33), L33),M33)="F")=TRUE,"F",
IF(OR( IF(M33="",IF(L33="",IF(K33="","",K33), L33),M33)="PE")=TRUE,"PE",
IF(AND(IF(M33="",IF(L33="",IF(K33="","",K33), L33),M33)="")=TRUE,"","P")))</f>
        <v/>
      </c>
      <c r="O33" s="68"/>
      <c r="P33" s="68"/>
      <c r="Q33" s="48"/>
      <c r="R33" s="48"/>
      <c r="S33" s="48"/>
      <c r="T33" s="48"/>
      <c r="U33" s="48"/>
      <c r="V33" s="48"/>
      <c r="W33" s="48"/>
      <c r="X33" s="48"/>
      <c r="Y33" s="48"/>
      <c r="Z33" s="48"/>
      <c r="AA33" s="48"/>
      <c r="AB33" s="48"/>
      <c r="AC33" s="48"/>
      <c r="AD33" s="48"/>
    </row>
    <row r="34" spans="1:30" ht="15.75" customHeight="1">
      <c r="A34" s="79"/>
      <c r="B34" s="80"/>
      <c r="C34" s="81"/>
      <c r="D34" s="81"/>
      <c r="E34" s="82"/>
      <c r="F34" s="82"/>
      <c r="G34" s="83"/>
      <c r="H34" s="83"/>
      <c r="I34" s="83"/>
      <c r="J34" s="83"/>
      <c r="K34" s="84"/>
      <c r="L34" s="84"/>
      <c r="M34" s="84"/>
      <c r="N34" s="84"/>
      <c r="O34" s="83"/>
      <c r="P34" s="83"/>
      <c r="Q34" s="48"/>
      <c r="R34" s="48"/>
      <c r="S34" s="48"/>
      <c r="T34" s="48"/>
      <c r="U34" s="48"/>
      <c r="V34" s="48"/>
      <c r="W34" s="48"/>
      <c r="X34" s="48"/>
      <c r="Y34" s="48"/>
      <c r="Z34" s="48"/>
      <c r="AA34" s="48"/>
      <c r="AB34" s="48"/>
      <c r="AC34" s="48"/>
      <c r="AD34" s="48"/>
    </row>
    <row r="35" spans="1:30" ht="15.75" customHeight="1">
      <c r="A35" s="83"/>
      <c r="B35" s="132"/>
      <c r="C35" s="129"/>
      <c r="D35" s="129"/>
      <c r="E35" s="129"/>
      <c r="F35" s="130"/>
      <c r="G35" s="83"/>
      <c r="H35" s="83"/>
      <c r="I35" s="83"/>
      <c r="J35" s="83"/>
      <c r="K35" s="84"/>
      <c r="L35" s="84"/>
      <c r="M35" s="84"/>
      <c r="N35" s="84"/>
      <c r="O35" s="83"/>
      <c r="P35" s="83"/>
      <c r="Q35" s="48"/>
      <c r="R35" s="48"/>
      <c r="S35" s="48"/>
      <c r="T35" s="48"/>
      <c r="U35" s="48"/>
      <c r="V35" s="48"/>
      <c r="W35" s="48"/>
      <c r="X35" s="48"/>
      <c r="Y35" s="48"/>
      <c r="Z35" s="48"/>
      <c r="AA35" s="48"/>
      <c r="AB35" s="48"/>
      <c r="AC35" s="48"/>
      <c r="AD35" s="48"/>
    </row>
    <row r="36" spans="1:30" ht="15.75" customHeight="1">
      <c r="A36" s="83"/>
      <c r="B36" s="132"/>
      <c r="C36" s="129"/>
      <c r="D36" s="129"/>
      <c r="E36" s="129"/>
      <c r="F36" s="130"/>
      <c r="G36" s="83"/>
      <c r="H36" s="83"/>
      <c r="I36" s="83"/>
      <c r="J36" s="83"/>
      <c r="K36" s="84"/>
      <c r="L36" s="84"/>
      <c r="M36" s="84"/>
      <c r="N36" s="84"/>
      <c r="O36" s="83"/>
      <c r="P36" s="83"/>
      <c r="Q36" s="48"/>
      <c r="R36" s="48"/>
      <c r="S36" s="48"/>
      <c r="T36" s="48"/>
      <c r="U36" s="48"/>
      <c r="V36" s="48"/>
      <c r="W36" s="48"/>
      <c r="X36" s="48"/>
      <c r="Y36" s="48"/>
      <c r="Z36" s="48"/>
      <c r="AA36" s="48"/>
      <c r="AB36" s="48"/>
      <c r="AC36" s="48"/>
      <c r="AD36" s="48"/>
    </row>
    <row r="37" spans="1:30" ht="15.75" customHeight="1">
      <c r="A37" s="83"/>
      <c r="B37" s="132"/>
      <c r="C37" s="129"/>
      <c r="D37" s="129"/>
      <c r="E37" s="129"/>
      <c r="F37" s="129"/>
      <c r="G37" s="129"/>
      <c r="H37" s="129"/>
      <c r="I37" s="129"/>
      <c r="J37" s="129"/>
      <c r="K37" s="130"/>
      <c r="L37" s="84"/>
      <c r="M37" s="84"/>
      <c r="N37" s="84"/>
      <c r="O37" s="83"/>
      <c r="P37" s="83"/>
      <c r="Q37" s="48"/>
      <c r="R37" s="48"/>
      <c r="S37" s="48"/>
      <c r="T37" s="48"/>
      <c r="U37" s="48"/>
      <c r="V37" s="48"/>
      <c r="W37" s="48"/>
      <c r="X37" s="48"/>
      <c r="Y37" s="48"/>
      <c r="Z37" s="48"/>
      <c r="AA37" s="48"/>
      <c r="AB37" s="48"/>
      <c r="AC37" s="48"/>
      <c r="AD37" s="48"/>
    </row>
    <row r="38" spans="1:30" ht="15.75" customHeight="1">
      <c r="A38" s="83"/>
      <c r="B38" s="132"/>
      <c r="C38" s="129"/>
      <c r="D38" s="129"/>
      <c r="E38" s="129"/>
      <c r="F38" s="130"/>
      <c r="G38" s="83"/>
      <c r="H38" s="83"/>
      <c r="I38" s="83"/>
      <c r="J38" s="83"/>
      <c r="K38" s="84"/>
      <c r="L38" s="84"/>
      <c r="M38" s="84"/>
      <c r="N38" s="84"/>
      <c r="O38" s="83"/>
      <c r="P38" s="83"/>
      <c r="Q38" s="48"/>
      <c r="R38" s="48"/>
      <c r="S38" s="48"/>
      <c r="T38" s="48"/>
      <c r="U38" s="48"/>
      <c r="V38" s="48"/>
      <c r="W38" s="48"/>
      <c r="X38" s="48"/>
      <c r="Y38" s="48"/>
      <c r="Z38" s="48"/>
      <c r="AA38" s="48"/>
      <c r="AB38" s="48"/>
      <c r="AC38" s="48"/>
      <c r="AD38" s="48"/>
    </row>
    <row r="39" spans="1:30" ht="15.75" customHeight="1">
      <c r="A39" s="83"/>
      <c r="B39" s="132"/>
      <c r="C39" s="129"/>
      <c r="D39" s="130"/>
      <c r="E39" s="82"/>
      <c r="F39" s="82"/>
      <c r="G39" s="83"/>
      <c r="H39" s="83"/>
      <c r="I39" s="83"/>
      <c r="J39" s="83"/>
      <c r="K39" s="84"/>
      <c r="L39" s="84"/>
      <c r="M39" s="84"/>
      <c r="N39" s="84"/>
      <c r="O39" s="83"/>
      <c r="P39" s="83"/>
      <c r="Q39" s="48"/>
      <c r="R39" s="48"/>
      <c r="S39" s="48"/>
      <c r="T39" s="48"/>
      <c r="U39" s="48"/>
      <c r="V39" s="48"/>
      <c r="W39" s="48"/>
      <c r="X39" s="48"/>
      <c r="Y39" s="48"/>
      <c r="Z39" s="48"/>
      <c r="AA39" s="48"/>
      <c r="AB39" s="48"/>
      <c r="AC39" s="48"/>
      <c r="AD39" s="48"/>
    </row>
    <row r="40" spans="1:30" ht="15.75" customHeight="1">
      <c r="A40" s="83"/>
      <c r="B40" s="132"/>
      <c r="C40" s="129"/>
      <c r="D40" s="130"/>
      <c r="E40" s="82"/>
      <c r="F40" s="82"/>
      <c r="G40" s="83"/>
      <c r="H40" s="83"/>
      <c r="I40" s="83"/>
      <c r="J40" s="83"/>
      <c r="K40" s="84"/>
      <c r="L40" s="84"/>
      <c r="M40" s="84"/>
      <c r="N40" s="84"/>
      <c r="O40" s="83"/>
      <c r="P40" s="83"/>
      <c r="Q40" s="48"/>
      <c r="R40" s="48"/>
      <c r="S40" s="48"/>
      <c r="T40" s="48"/>
      <c r="U40" s="48"/>
      <c r="V40" s="48"/>
      <c r="W40" s="48"/>
      <c r="X40" s="48"/>
      <c r="Y40" s="48"/>
      <c r="Z40" s="48"/>
      <c r="AA40" s="48"/>
      <c r="AB40" s="48"/>
      <c r="AC40" s="48"/>
      <c r="AD40" s="48"/>
    </row>
    <row r="41" spans="1:30" ht="15.75" customHeight="1">
      <c r="A41" s="85"/>
      <c r="B41" s="48"/>
      <c r="C41" s="48"/>
      <c r="D41" s="48"/>
      <c r="E41" s="48"/>
      <c r="F41" s="48"/>
      <c r="G41" s="48"/>
      <c r="H41" s="48"/>
      <c r="I41" s="48"/>
      <c r="J41" s="48"/>
      <c r="K41" s="50"/>
      <c r="L41" s="48"/>
      <c r="M41" s="48"/>
      <c r="N41" s="50"/>
      <c r="O41" s="48"/>
      <c r="P41" s="48"/>
      <c r="Q41" s="48"/>
      <c r="R41" s="48"/>
      <c r="S41" s="48"/>
      <c r="T41" s="48"/>
      <c r="U41" s="48"/>
      <c r="V41" s="48"/>
      <c r="W41" s="48"/>
      <c r="X41" s="48"/>
      <c r="Y41" s="48"/>
      <c r="Z41" s="48"/>
      <c r="AA41" s="48"/>
      <c r="AB41" s="48"/>
      <c r="AC41" s="48"/>
      <c r="AD41" s="48"/>
    </row>
    <row r="42" spans="1:30" ht="15.75" customHeight="1">
      <c r="A42" s="85"/>
      <c r="B42" s="48"/>
      <c r="C42" s="48"/>
      <c r="D42" s="48"/>
      <c r="E42" s="48"/>
      <c r="F42" s="48"/>
      <c r="G42" s="48"/>
      <c r="H42" s="48"/>
      <c r="I42" s="48"/>
      <c r="J42" s="48"/>
      <c r="K42" s="50"/>
      <c r="L42" s="48"/>
      <c r="M42" s="48"/>
      <c r="N42" s="50"/>
      <c r="O42" s="48"/>
      <c r="P42" s="48"/>
      <c r="Q42" s="48"/>
      <c r="R42" s="48"/>
      <c r="S42" s="48"/>
      <c r="T42" s="48"/>
      <c r="U42" s="48"/>
      <c r="V42" s="48"/>
      <c r="W42" s="48"/>
      <c r="X42" s="48"/>
      <c r="Y42" s="48"/>
      <c r="Z42" s="48"/>
      <c r="AA42" s="48"/>
      <c r="AB42" s="48"/>
      <c r="AC42" s="48"/>
      <c r="AD42" s="48"/>
    </row>
    <row r="43" spans="1:30" ht="15.75" customHeight="1">
      <c r="A43" s="85"/>
      <c r="B43" s="48"/>
      <c r="C43" s="48"/>
      <c r="D43" s="48"/>
      <c r="E43" s="48"/>
      <c r="F43" s="48"/>
      <c r="G43" s="48"/>
      <c r="H43" s="48"/>
      <c r="I43" s="48"/>
      <c r="J43" s="48"/>
      <c r="K43" s="50"/>
      <c r="L43" s="48"/>
      <c r="M43" s="48"/>
      <c r="N43" s="50"/>
      <c r="O43" s="48"/>
      <c r="P43" s="48"/>
      <c r="Q43" s="48"/>
      <c r="R43" s="48"/>
      <c r="S43" s="48"/>
      <c r="T43" s="48"/>
      <c r="U43" s="48"/>
      <c r="V43" s="48"/>
      <c r="W43" s="48"/>
      <c r="X43" s="48"/>
      <c r="Y43" s="48"/>
      <c r="Z43" s="48"/>
      <c r="AA43" s="48"/>
      <c r="AB43" s="48"/>
      <c r="AC43" s="48"/>
      <c r="AD43" s="48"/>
    </row>
    <row r="44" spans="1:30" ht="15.75" customHeight="1">
      <c r="A44" s="85"/>
      <c r="B44" s="48"/>
      <c r="C44" s="48"/>
      <c r="D44" s="48"/>
      <c r="E44" s="48"/>
      <c r="F44" s="48"/>
      <c r="G44" s="48"/>
      <c r="H44" s="48"/>
      <c r="I44" s="48"/>
      <c r="J44" s="48"/>
      <c r="K44" s="50"/>
      <c r="L44" s="48"/>
      <c r="M44" s="48"/>
      <c r="N44" s="50"/>
      <c r="O44" s="48"/>
      <c r="P44" s="48"/>
      <c r="Q44" s="48"/>
      <c r="R44" s="48"/>
      <c r="S44" s="48"/>
      <c r="T44" s="48"/>
      <c r="U44" s="48"/>
      <c r="V44" s="48"/>
      <c r="W44" s="48"/>
      <c r="X44" s="48"/>
      <c r="Y44" s="48"/>
      <c r="Z44" s="48"/>
      <c r="AA44" s="48"/>
      <c r="AB44" s="48"/>
      <c r="AC44" s="48"/>
      <c r="AD44" s="48"/>
    </row>
    <row r="45" spans="1:30" ht="15.75" customHeight="1">
      <c r="A45" s="85"/>
      <c r="B45" s="48"/>
      <c r="C45" s="48"/>
      <c r="D45" s="48"/>
      <c r="E45" s="48"/>
      <c r="F45" s="48"/>
      <c r="G45" s="48"/>
      <c r="H45" s="48"/>
      <c r="I45" s="48"/>
      <c r="J45" s="48"/>
      <c r="K45" s="50"/>
      <c r="L45" s="48"/>
      <c r="M45" s="48"/>
      <c r="N45" s="50"/>
      <c r="O45" s="48"/>
      <c r="P45" s="48"/>
      <c r="Q45" s="48"/>
      <c r="R45" s="48"/>
      <c r="S45" s="48"/>
      <c r="T45" s="48"/>
      <c r="U45" s="48"/>
      <c r="V45" s="48"/>
      <c r="W45" s="48"/>
      <c r="X45" s="48"/>
      <c r="Y45" s="48"/>
      <c r="Z45" s="48"/>
      <c r="AA45" s="48"/>
      <c r="AB45" s="48"/>
      <c r="AC45" s="48"/>
      <c r="AD45" s="48"/>
    </row>
    <row r="46" spans="1:30" ht="15.75" customHeight="1">
      <c r="A46" s="85"/>
      <c r="B46" s="48"/>
      <c r="C46" s="48"/>
      <c r="D46" s="48"/>
      <c r="E46" s="48"/>
      <c r="F46" s="48"/>
      <c r="G46" s="48"/>
      <c r="H46" s="48"/>
      <c r="I46" s="48"/>
      <c r="J46" s="48"/>
      <c r="K46" s="50"/>
      <c r="L46" s="48"/>
      <c r="M46" s="48"/>
      <c r="N46" s="50"/>
      <c r="O46" s="48"/>
      <c r="P46" s="48"/>
      <c r="Q46" s="48"/>
      <c r="R46" s="48"/>
      <c r="S46" s="48"/>
      <c r="T46" s="48"/>
      <c r="U46" s="48"/>
      <c r="V46" s="48"/>
      <c r="W46" s="48"/>
      <c r="X46" s="48"/>
      <c r="Y46" s="48"/>
      <c r="Z46" s="48"/>
      <c r="AA46" s="48"/>
      <c r="AB46" s="48"/>
      <c r="AC46" s="48"/>
      <c r="AD46" s="48"/>
    </row>
    <row r="47" spans="1:30" ht="15.75" customHeight="1">
      <c r="A47" s="85"/>
      <c r="B47" s="48"/>
      <c r="C47" s="48"/>
      <c r="D47" s="48"/>
      <c r="E47" s="48"/>
      <c r="F47" s="48"/>
      <c r="G47" s="48"/>
      <c r="H47" s="48"/>
      <c r="I47" s="48"/>
      <c r="J47" s="48"/>
      <c r="K47" s="50"/>
      <c r="L47" s="48"/>
      <c r="M47" s="48"/>
      <c r="N47" s="50"/>
      <c r="O47" s="48"/>
      <c r="P47" s="48"/>
      <c r="Q47" s="48"/>
      <c r="R47" s="48"/>
      <c r="S47" s="48"/>
      <c r="T47" s="48"/>
      <c r="U47" s="48"/>
      <c r="V47" s="48"/>
      <c r="W47" s="48"/>
      <c r="X47" s="48"/>
      <c r="Y47" s="48"/>
      <c r="Z47" s="48"/>
      <c r="AA47" s="48"/>
      <c r="AB47" s="48"/>
      <c r="AC47" s="48"/>
      <c r="AD47" s="48"/>
    </row>
    <row r="48" spans="1:30" ht="15.75" customHeight="1">
      <c r="A48" s="85"/>
      <c r="B48" s="48"/>
      <c r="C48" s="48"/>
      <c r="D48" s="48"/>
      <c r="E48" s="48"/>
      <c r="F48" s="48"/>
      <c r="G48" s="48"/>
      <c r="H48" s="48"/>
      <c r="I48" s="48"/>
      <c r="J48" s="48"/>
      <c r="K48" s="50"/>
      <c r="L48" s="48"/>
      <c r="M48" s="48"/>
      <c r="N48" s="50"/>
      <c r="O48" s="48"/>
      <c r="P48" s="48"/>
      <c r="Q48" s="48"/>
      <c r="R48" s="48"/>
      <c r="S48" s="48"/>
      <c r="T48" s="48"/>
      <c r="U48" s="48"/>
      <c r="V48" s="48"/>
      <c r="W48" s="48"/>
      <c r="X48" s="48"/>
      <c r="Y48" s="48"/>
      <c r="Z48" s="48"/>
      <c r="AA48" s="48"/>
      <c r="AB48" s="48"/>
      <c r="AC48" s="48"/>
      <c r="AD48" s="48"/>
    </row>
    <row r="49" spans="1:30" ht="15.75" customHeight="1">
      <c r="A49" s="85"/>
      <c r="B49" s="48"/>
      <c r="C49" s="48"/>
      <c r="D49" s="48"/>
      <c r="E49" s="48"/>
      <c r="F49" s="48"/>
      <c r="G49" s="48"/>
      <c r="H49" s="48"/>
      <c r="I49" s="48"/>
      <c r="J49" s="48"/>
      <c r="K49" s="50"/>
      <c r="L49" s="48"/>
      <c r="M49" s="48"/>
      <c r="N49" s="50"/>
      <c r="O49" s="48"/>
      <c r="P49" s="48"/>
      <c r="Q49" s="48"/>
      <c r="R49" s="48"/>
      <c r="S49" s="48"/>
      <c r="T49" s="48"/>
      <c r="U49" s="48"/>
      <c r="V49" s="48"/>
      <c r="W49" s="48"/>
      <c r="X49" s="48"/>
      <c r="Y49" s="48"/>
      <c r="Z49" s="48"/>
      <c r="AA49" s="48"/>
      <c r="AB49" s="48"/>
      <c r="AC49" s="48"/>
      <c r="AD49" s="48"/>
    </row>
    <row r="50" spans="1:30" ht="15.75" customHeight="1">
      <c r="A50" s="85"/>
      <c r="B50" s="48"/>
      <c r="C50" s="48"/>
      <c r="D50" s="48"/>
      <c r="E50" s="48"/>
      <c r="F50" s="48"/>
      <c r="G50" s="48"/>
      <c r="H50" s="48"/>
      <c r="I50" s="48"/>
      <c r="J50" s="48"/>
      <c r="K50" s="50"/>
      <c r="L50" s="48"/>
      <c r="M50" s="48"/>
      <c r="N50" s="50"/>
      <c r="O50" s="48"/>
      <c r="P50" s="48"/>
      <c r="Q50" s="48"/>
      <c r="R50" s="48"/>
      <c r="S50" s="48"/>
      <c r="T50" s="48"/>
      <c r="U50" s="48"/>
      <c r="V50" s="48"/>
      <c r="W50" s="48"/>
      <c r="X50" s="48"/>
      <c r="Y50" s="48"/>
      <c r="Z50" s="48"/>
      <c r="AA50" s="48"/>
      <c r="AB50" s="48"/>
      <c r="AC50" s="48"/>
      <c r="AD50" s="48"/>
    </row>
    <row r="51" spans="1:30" ht="15.75" customHeight="1">
      <c r="A51" s="85"/>
      <c r="B51" s="48"/>
      <c r="C51" s="48"/>
      <c r="D51" s="48"/>
      <c r="E51" s="48"/>
      <c r="F51" s="48"/>
      <c r="G51" s="48"/>
      <c r="H51" s="48"/>
      <c r="I51" s="48"/>
      <c r="J51" s="48"/>
      <c r="K51" s="50"/>
      <c r="L51" s="48"/>
      <c r="M51" s="48"/>
      <c r="N51" s="50"/>
      <c r="O51" s="48"/>
      <c r="P51" s="48"/>
      <c r="Q51" s="48"/>
      <c r="R51" s="48"/>
      <c r="S51" s="48"/>
      <c r="T51" s="48"/>
      <c r="U51" s="48"/>
      <c r="V51" s="48"/>
      <c r="W51" s="48"/>
      <c r="X51" s="48"/>
      <c r="Y51" s="48"/>
      <c r="Z51" s="48"/>
      <c r="AA51" s="48"/>
      <c r="AB51" s="48"/>
      <c r="AC51" s="48"/>
      <c r="AD51" s="48"/>
    </row>
    <row r="52" spans="1:30" ht="15.75" customHeight="1">
      <c r="A52" s="85"/>
      <c r="B52" s="48"/>
      <c r="C52" s="48"/>
      <c r="D52" s="48"/>
      <c r="E52" s="48"/>
      <c r="F52" s="48"/>
      <c r="G52" s="48"/>
      <c r="H52" s="48"/>
      <c r="I52" s="48"/>
      <c r="J52" s="48"/>
      <c r="K52" s="50"/>
      <c r="L52" s="48"/>
      <c r="M52" s="48"/>
      <c r="N52" s="50"/>
      <c r="O52" s="48"/>
      <c r="P52" s="48"/>
      <c r="Q52" s="48"/>
      <c r="R52" s="48"/>
      <c r="S52" s="48"/>
      <c r="T52" s="48"/>
      <c r="U52" s="48"/>
      <c r="V52" s="48"/>
      <c r="W52" s="48"/>
      <c r="X52" s="48"/>
      <c r="Y52" s="48"/>
      <c r="Z52" s="48"/>
      <c r="AA52" s="48"/>
      <c r="AB52" s="48"/>
      <c r="AC52" s="48"/>
      <c r="AD52" s="48"/>
    </row>
    <row r="53" spans="1:30" ht="15.75" customHeight="1">
      <c r="A53" s="85"/>
      <c r="B53" s="48"/>
      <c r="C53" s="48"/>
      <c r="D53" s="48"/>
      <c r="E53" s="48"/>
      <c r="F53" s="48"/>
      <c r="G53" s="48"/>
      <c r="H53" s="48"/>
      <c r="I53" s="48"/>
      <c r="J53" s="48"/>
      <c r="K53" s="50"/>
      <c r="L53" s="48"/>
      <c r="M53" s="48"/>
      <c r="N53" s="50"/>
      <c r="O53" s="48"/>
      <c r="P53" s="48"/>
      <c r="Q53" s="48"/>
      <c r="R53" s="48"/>
      <c r="S53" s="48"/>
      <c r="T53" s="48"/>
      <c r="U53" s="48"/>
      <c r="V53" s="48"/>
      <c r="W53" s="48"/>
      <c r="X53" s="48"/>
      <c r="Y53" s="48"/>
      <c r="Z53" s="48"/>
      <c r="AA53" s="48"/>
      <c r="AB53" s="48"/>
      <c r="AC53" s="48"/>
      <c r="AD53" s="48"/>
    </row>
    <row r="54" spans="1:30" ht="15.75" customHeight="1">
      <c r="A54" s="85"/>
      <c r="B54" s="48"/>
      <c r="C54" s="48"/>
      <c r="D54" s="48"/>
      <c r="E54" s="48"/>
      <c r="F54" s="48"/>
      <c r="G54" s="48"/>
      <c r="H54" s="48"/>
      <c r="I54" s="48"/>
      <c r="J54" s="48"/>
      <c r="K54" s="50"/>
      <c r="L54" s="48"/>
      <c r="M54" s="48"/>
      <c r="N54" s="50"/>
      <c r="O54" s="48"/>
      <c r="P54" s="48"/>
      <c r="Q54" s="48"/>
      <c r="R54" s="48"/>
      <c r="S54" s="48"/>
      <c r="T54" s="48"/>
      <c r="U54" s="48"/>
      <c r="V54" s="48"/>
      <c r="W54" s="48"/>
      <c r="X54" s="48"/>
      <c r="Y54" s="48"/>
      <c r="Z54" s="48"/>
      <c r="AA54" s="48"/>
      <c r="AB54" s="48"/>
      <c r="AC54" s="48"/>
      <c r="AD54" s="48"/>
    </row>
    <row r="55" spans="1:30" ht="15.75" customHeight="1">
      <c r="A55" s="85"/>
      <c r="B55" s="48"/>
      <c r="C55" s="48"/>
      <c r="D55" s="48"/>
      <c r="E55" s="48"/>
      <c r="F55" s="48"/>
      <c r="G55" s="48"/>
      <c r="H55" s="48"/>
      <c r="I55" s="48"/>
      <c r="J55" s="48"/>
      <c r="K55" s="50"/>
      <c r="L55" s="48"/>
      <c r="M55" s="48"/>
      <c r="N55" s="50"/>
      <c r="O55" s="48"/>
      <c r="P55" s="48"/>
      <c r="Q55" s="48"/>
      <c r="R55" s="48"/>
      <c r="S55" s="48"/>
      <c r="T55" s="48"/>
      <c r="U55" s="48"/>
      <c r="V55" s="48"/>
      <c r="W55" s="48"/>
      <c r="X55" s="48"/>
      <c r="Y55" s="48"/>
      <c r="Z55" s="48"/>
      <c r="AA55" s="48"/>
      <c r="AB55" s="48"/>
      <c r="AC55" s="48"/>
      <c r="AD55" s="48"/>
    </row>
    <row r="56" spans="1:30" ht="15.75" customHeight="1">
      <c r="A56" s="85"/>
      <c r="B56" s="48"/>
      <c r="C56" s="48"/>
      <c r="D56" s="48"/>
      <c r="E56" s="48"/>
      <c r="F56" s="48"/>
      <c r="G56" s="48"/>
      <c r="H56" s="48"/>
      <c r="I56" s="48"/>
      <c r="J56" s="48"/>
      <c r="K56" s="50"/>
      <c r="L56" s="48"/>
      <c r="M56" s="48"/>
      <c r="N56" s="50"/>
      <c r="O56" s="48"/>
      <c r="P56" s="48"/>
      <c r="Q56" s="48"/>
      <c r="R56" s="48"/>
      <c r="S56" s="48"/>
      <c r="T56" s="48"/>
      <c r="U56" s="48"/>
      <c r="V56" s="48"/>
      <c r="W56" s="48"/>
      <c r="X56" s="48"/>
      <c r="Y56" s="48"/>
      <c r="Z56" s="48"/>
      <c r="AA56" s="48"/>
      <c r="AB56" s="48"/>
      <c r="AC56" s="48"/>
      <c r="AD56" s="48"/>
    </row>
    <row r="57" spans="1:30" ht="15.75" customHeight="1">
      <c r="A57" s="85"/>
      <c r="B57" s="48"/>
      <c r="C57" s="48"/>
      <c r="D57" s="48"/>
      <c r="E57" s="48"/>
      <c r="F57" s="48"/>
      <c r="G57" s="48"/>
      <c r="H57" s="48"/>
      <c r="I57" s="48"/>
      <c r="J57" s="48"/>
      <c r="K57" s="50"/>
      <c r="L57" s="48"/>
      <c r="M57" s="48"/>
      <c r="N57" s="50"/>
      <c r="O57" s="48"/>
      <c r="P57" s="48"/>
      <c r="Q57" s="48"/>
      <c r="R57" s="48"/>
      <c r="S57" s="48"/>
      <c r="T57" s="48"/>
      <c r="U57" s="48"/>
      <c r="V57" s="48"/>
      <c r="W57" s="48"/>
      <c r="X57" s="48"/>
      <c r="Y57" s="48"/>
      <c r="Z57" s="48"/>
      <c r="AA57" s="48"/>
      <c r="AB57" s="48"/>
      <c r="AC57" s="48"/>
      <c r="AD57" s="48"/>
    </row>
    <row r="58" spans="1:30" ht="15.75" customHeight="1">
      <c r="A58" s="85"/>
      <c r="B58" s="48"/>
      <c r="C58" s="48"/>
      <c r="D58" s="48"/>
      <c r="E58" s="48"/>
      <c r="F58" s="48"/>
      <c r="G58" s="48"/>
      <c r="H58" s="48"/>
      <c r="I58" s="48"/>
      <c r="J58" s="48"/>
      <c r="K58" s="50"/>
      <c r="L58" s="48"/>
      <c r="M58" s="48"/>
      <c r="N58" s="50"/>
      <c r="O58" s="48"/>
      <c r="P58" s="48"/>
      <c r="Q58" s="48"/>
      <c r="R58" s="48"/>
      <c r="S58" s="48"/>
      <c r="T58" s="48"/>
      <c r="U58" s="48"/>
      <c r="V58" s="48"/>
      <c r="W58" s="48"/>
      <c r="X58" s="48"/>
      <c r="Y58" s="48"/>
      <c r="Z58" s="48"/>
      <c r="AA58" s="48"/>
      <c r="AB58" s="48"/>
      <c r="AC58" s="48"/>
      <c r="AD58" s="48"/>
    </row>
    <row r="59" spans="1:30" ht="15.75" customHeight="1">
      <c r="A59" s="85"/>
      <c r="B59" s="48"/>
      <c r="C59" s="48"/>
      <c r="D59" s="48"/>
      <c r="E59" s="48"/>
      <c r="F59" s="48"/>
      <c r="G59" s="48"/>
      <c r="H59" s="48"/>
      <c r="I59" s="48"/>
      <c r="J59" s="48"/>
      <c r="K59" s="50"/>
      <c r="L59" s="48"/>
      <c r="M59" s="48"/>
      <c r="N59" s="50"/>
      <c r="O59" s="48"/>
      <c r="P59" s="48"/>
      <c r="Q59" s="48"/>
      <c r="R59" s="48"/>
      <c r="S59" s="48"/>
      <c r="T59" s="48"/>
      <c r="U59" s="48"/>
      <c r="V59" s="48"/>
      <c r="W59" s="48"/>
      <c r="X59" s="48"/>
      <c r="Y59" s="48"/>
      <c r="Z59" s="48"/>
      <c r="AA59" s="48"/>
      <c r="AB59" s="48"/>
      <c r="AC59" s="48"/>
      <c r="AD59" s="48"/>
    </row>
    <row r="60" spans="1:30" ht="15.75" customHeight="1">
      <c r="A60" s="85"/>
      <c r="B60" s="48"/>
      <c r="C60" s="48"/>
      <c r="D60" s="48"/>
      <c r="E60" s="48"/>
      <c r="F60" s="48"/>
      <c r="G60" s="48"/>
      <c r="H60" s="48"/>
      <c r="I60" s="48"/>
      <c r="J60" s="48"/>
      <c r="K60" s="50"/>
      <c r="L60" s="48"/>
      <c r="M60" s="48"/>
      <c r="N60" s="50"/>
      <c r="O60" s="48"/>
      <c r="P60" s="48"/>
      <c r="Q60" s="48"/>
      <c r="R60" s="48"/>
      <c r="S60" s="48"/>
      <c r="T60" s="48"/>
      <c r="U60" s="48"/>
      <c r="V60" s="48"/>
      <c r="W60" s="48"/>
      <c r="X60" s="48"/>
      <c r="Y60" s="48"/>
      <c r="Z60" s="48"/>
      <c r="AA60" s="48"/>
      <c r="AB60" s="48"/>
      <c r="AC60" s="48"/>
      <c r="AD60" s="48"/>
    </row>
    <row r="61" spans="1:30" ht="15.75" customHeight="1">
      <c r="A61" s="85"/>
      <c r="B61" s="48"/>
      <c r="C61" s="48"/>
      <c r="D61" s="48"/>
      <c r="E61" s="48"/>
      <c r="F61" s="48"/>
      <c r="G61" s="48"/>
      <c r="H61" s="48"/>
      <c r="I61" s="48"/>
      <c r="J61" s="48"/>
      <c r="K61" s="50"/>
      <c r="L61" s="48"/>
      <c r="M61" s="48"/>
      <c r="N61" s="50"/>
      <c r="O61" s="48"/>
      <c r="P61" s="48"/>
      <c r="Q61" s="48"/>
      <c r="R61" s="48"/>
      <c r="S61" s="48"/>
      <c r="T61" s="48"/>
      <c r="U61" s="48"/>
      <c r="V61" s="48"/>
      <c r="W61" s="48"/>
      <c r="X61" s="48"/>
      <c r="Y61" s="48"/>
      <c r="Z61" s="48"/>
      <c r="AA61" s="48"/>
      <c r="AB61" s="48"/>
      <c r="AC61" s="48"/>
      <c r="AD61" s="48"/>
    </row>
    <row r="62" spans="1:30" ht="15.75" customHeight="1">
      <c r="A62" s="85"/>
      <c r="B62" s="48"/>
      <c r="C62" s="48"/>
      <c r="D62" s="48"/>
      <c r="E62" s="48"/>
      <c r="F62" s="48"/>
      <c r="G62" s="48"/>
      <c r="H62" s="48"/>
      <c r="I62" s="48"/>
      <c r="J62" s="48"/>
      <c r="K62" s="50"/>
      <c r="L62" s="48"/>
      <c r="M62" s="48"/>
      <c r="N62" s="50"/>
      <c r="O62" s="48"/>
      <c r="P62" s="48"/>
      <c r="Q62" s="48"/>
      <c r="R62" s="48"/>
      <c r="S62" s="48"/>
      <c r="T62" s="48"/>
      <c r="U62" s="48"/>
      <c r="V62" s="48"/>
      <c r="W62" s="48"/>
      <c r="X62" s="48"/>
      <c r="Y62" s="48"/>
      <c r="Z62" s="48"/>
      <c r="AA62" s="48"/>
      <c r="AB62" s="48"/>
      <c r="AC62" s="48"/>
      <c r="AD62" s="48"/>
    </row>
    <row r="63" spans="1:30" ht="15.75" customHeight="1">
      <c r="A63" s="85"/>
      <c r="B63" s="48"/>
      <c r="C63" s="48"/>
      <c r="D63" s="48"/>
      <c r="E63" s="48"/>
      <c r="F63" s="48"/>
      <c r="G63" s="48"/>
      <c r="H63" s="48"/>
      <c r="I63" s="48"/>
      <c r="J63" s="48"/>
      <c r="K63" s="50"/>
      <c r="L63" s="48"/>
      <c r="M63" s="48"/>
      <c r="N63" s="50"/>
      <c r="O63" s="48"/>
      <c r="P63" s="48"/>
      <c r="Q63" s="48"/>
      <c r="R63" s="48"/>
      <c r="S63" s="48"/>
      <c r="T63" s="48"/>
      <c r="U63" s="48"/>
      <c r="V63" s="48"/>
      <c r="W63" s="48"/>
      <c r="X63" s="48"/>
      <c r="Y63" s="48"/>
      <c r="Z63" s="48"/>
      <c r="AA63" s="48"/>
      <c r="AB63" s="48"/>
      <c r="AC63" s="48"/>
      <c r="AD63" s="48"/>
    </row>
    <row r="64" spans="1:30" ht="15.75" customHeight="1">
      <c r="A64" s="85"/>
      <c r="B64" s="48"/>
      <c r="C64" s="48"/>
      <c r="D64" s="48"/>
      <c r="E64" s="48"/>
      <c r="F64" s="48"/>
      <c r="G64" s="48"/>
      <c r="H64" s="48"/>
      <c r="I64" s="48"/>
      <c r="J64" s="48"/>
      <c r="K64" s="50"/>
      <c r="L64" s="48"/>
      <c r="M64" s="48"/>
      <c r="N64" s="50"/>
      <c r="O64" s="48"/>
      <c r="P64" s="48"/>
      <c r="Q64" s="48"/>
      <c r="R64" s="48"/>
      <c r="S64" s="48"/>
      <c r="T64" s="48"/>
      <c r="U64" s="48"/>
      <c r="V64" s="48"/>
      <c r="W64" s="48"/>
      <c r="X64" s="48"/>
      <c r="Y64" s="48"/>
      <c r="Z64" s="48"/>
      <c r="AA64" s="48"/>
      <c r="AB64" s="48"/>
      <c r="AC64" s="48"/>
      <c r="AD64" s="48"/>
    </row>
    <row r="65" spans="1:30" ht="15.75" customHeight="1">
      <c r="A65" s="85"/>
      <c r="B65" s="48"/>
      <c r="C65" s="48"/>
      <c r="D65" s="48"/>
      <c r="E65" s="48"/>
      <c r="F65" s="48"/>
      <c r="G65" s="48"/>
      <c r="H65" s="48"/>
      <c r="I65" s="48"/>
      <c r="J65" s="48"/>
      <c r="K65" s="50"/>
      <c r="L65" s="48"/>
      <c r="M65" s="48"/>
      <c r="N65" s="50"/>
      <c r="O65" s="48"/>
      <c r="P65" s="48"/>
      <c r="Q65" s="48"/>
      <c r="R65" s="48"/>
      <c r="S65" s="48"/>
      <c r="T65" s="48"/>
      <c r="U65" s="48"/>
      <c r="V65" s="48"/>
      <c r="W65" s="48"/>
      <c r="X65" s="48"/>
      <c r="Y65" s="48"/>
      <c r="Z65" s="48"/>
      <c r="AA65" s="48"/>
      <c r="AB65" s="48"/>
      <c r="AC65" s="48"/>
      <c r="AD65" s="48"/>
    </row>
    <row r="66" spans="1:30" ht="15.75" customHeight="1">
      <c r="A66" s="85"/>
      <c r="B66" s="48"/>
      <c r="C66" s="48"/>
      <c r="D66" s="48"/>
      <c r="E66" s="48"/>
      <c r="F66" s="48"/>
      <c r="G66" s="48"/>
      <c r="H66" s="48"/>
      <c r="I66" s="48"/>
      <c r="J66" s="48"/>
      <c r="K66" s="50"/>
      <c r="L66" s="48"/>
      <c r="M66" s="48"/>
      <c r="N66" s="50"/>
      <c r="O66" s="48"/>
      <c r="P66" s="48"/>
      <c r="Q66" s="48"/>
      <c r="R66" s="48"/>
      <c r="S66" s="48"/>
      <c r="T66" s="48"/>
      <c r="U66" s="48"/>
      <c r="V66" s="48"/>
      <c r="W66" s="48"/>
      <c r="X66" s="48"/>
      <c r="Y66" s="48"/>
      <c r="Z66" s="48"/>
      <c r="AA66" s="48"/>
      <c r="AB66" s="48"/>
      <c r="AC66" s="48"/>
      <c r="AD66" s="48"/>
    </row>
    <row r="67" spans="1:30" ht="15.75" customHeight="1">
      <c r="A67" s="85"/>
      <c r="B67" s="48"/>
      <c r="C67" s="48"/>
      <c r="D67" s="48"/>
      <c r="E67" s="48"/>
      <c r="F67" s="48"/>
      <c r="G67" s="48"/>
      <c r="H67" s="48"/>
      <c r="I67" s="48"/>
      <c r="J67" s="48"/>
      <c r="K67" s="50"/>
      <c r="L67" s="48"/>
      <c r="M67" s="48"/>
      <c r="N67" s="50"/>
      <c r="O67" s="48"/>
      <c r="P67" s="48"/>
      <c r="Q67" s="48"/>
      <c r="R67" s="48"/>
      <c r="S67" s="48"/>
      <c r="T67" s="48"/>
      <c r="U67" s="48"/>
      <c r="V67" s="48"/>
      <c r="W67" s="48"/>
      <c r="X67" s="48"/>
      <c r="Y67" s="48"/>
      <c r="Z67" s="48"/>
      <c r="AA67" s="48"/>
      <c r="AB67" s="48"/>
      <c r="AC67" s="48"/>
      <c r="AD67" s="48"/>
    </row>
    <row r="68" spans="1:30" ht="15.75" customHeight="1">
      <c r="A68" s="85"/>
      <c r="B68" s="48"/>
      <c r="C68" s="48"/>
      <c r="D68" s="48"/>
      <c r="E68" s="48"/>
      <c r="F68" s="48"/>
      <c r="G68" s="48"/>
      <c r="H68" s="48"/>
      <c r="I68" s="48"/>
      <c r="J68" s="48"/>
      <c r="K68" s="50"/>
      <c r="L68" s="48"/>
      <c r="M68" s="48"/>
      <c r="N68" s="50"/>
      <c r="O68" s="48"/>
      <c r="P68" s="48"/>
      <c r="Q68" s="48"/>
      <c r="R68" s="48"/>
      <c r="S68" s="48"/>
      <c r="T68" s="48"/>
      <c r="U68" s="48"/>
      <c r="V68" s="48"/>
      <c r="W68" s="48"/>
      <c r="X68" s="48"/>
      <c r="Y68" s="48"/>
      <c r="Z68" s="48"/>
      <c r="AA68" s="48"/>
      <c r="AB68" s="48"/>
      <c r="AC68" s="48"/>
      <c r="AD68" s="48"/>
    </row>
    <row r="69" spans="1:30" ht="15.75" customHeight="1">
      <c r="A69" s="85"/>
      <c r="B69" s="48"/>
      <c r="C69" s="48"/>
      <c r="D69" s="48"/>
      <c r="E69" s="48"/>
      <c r="F69" s="48"/>
      <c r="G69" s="48"/>
      <c r="H69" s="48"/>
      <c r="I69" s="48"/>
      <c r="J69" s="48"/>
      <c r="K69" s="50"/>
      <c r="L69" s="48"/>
      <c r="M69" s="48"/>
      <c r="N69" s="50"/>
      <c r="O69" s="48"/>
      <c r="P69" s="48"/>
      <c r="Q69" s="48"/>
      <c r="R69" s="48"/>
      <c r="S69" s="48"/>
      <c r="T69" s="48"/>
      <c r="U69" s="48"/>
      <c r="V69" s="48"/>
      <c r="W69" s="48"/>
      <c r="X69" s="48"/>
      <c r="Y69" s="48"/>
      <c r="Z69" s="48"/>
      <c r="AA69" s="48"/>
      <c r="AB69" s="48"/>
      <c r="AC69" s="48"/>
      <c r="AD69" s="48"/>
    </row>
    <row r="70" spans="1:30" ht="15.75" customHeight="1">
      <c r="A70" s="85"/>
      <c r="B70" s="48"/>
      <c r="C70" s="48"/>
      <c r="D70" s="48"/>
      <c r="E70" s="48"/>
      <c r="F70" s="48"/>
      <c r="G70" s="48"/>
      <c r="H70" s="48"/>
      <c r="I70" s="48"/>
      <c r="J70" s="48"/>
      <c r="K70" s="50"/>
      <c r="L70" s="48"/>
      <c r="M70" s="48"/>
      <c r="N70" s="50"/>
      <c r="O70" s="48"/>
      <c r="P70" s="48"/>
      <c r="Q70" s="48"/>
      <c r="R70" s="48"/>
      <c r="S70" s="48"/>
      <c r="T70" s="48"/>
      <c r="U70" s="48"/>
      <c r="V70" s="48"/>
      <c r="W70" s="48"/>
      <c r="X70" s="48"/>
      <c r="Y70" s="48"/>
      <c r="Z70" s="48"/>
      <c r="AA70" s="48"/>
      <c r="AB70" s="48"/>
      <c r="AC70" s="48"/>
      <c r="AD70" s="48"/>
    </row>
    <row r="71" spans="1:30" ht="15.75" customHeight="1">
      <c r="A71" s="85"/>
      <c r="B71" s="48"/>
      <c r="C71" s="48"/>
      <c r="D71" s="48"/>
      <c r="E71" s="48"/>
      <c r="F71" s="48"/>
      <c r="G71" s="48"/>
      <c r="H71" s="48"/>
      <c r="I71" s="48"/>
      <c r="J71" s="48"/>
      <c r="K71" s="50"/>
      <c r="L71" s="48"/>
      <c r="M71" s="48"/>
      <c r="N71" s="50"/>
      <c r="O71" s="48"/>
      <c r="P71" s="48"/>
      <c r="Q71" s="48"/>
      <c r="R71" s="48"/>
      <c r="S71" s="48"/>
      <c r="T71" s="48"/>
      <c r="U71" s="48"/>
      <c r="V71" s="48"/>
      <c r="W71" s="48"/>
      <c r="X71" s="48"/>
      <c r="Y71" s="48"/>
      <c r="Z71" s="48"/>
      <c r="AA71" s="48"/>
      <c r="AB71" s="48"/>
      <c r="AC71" s="48"/>
      <c r="AD71" s="48"/>
    </row>
    <row r="72" spans="1:30" ht="15.75" customHeight="1">
      <c r="A72" s="85"/>
      <c r="B72" s="48"/>
      <c r="C72" s="48"/>
      <c r="D72" s="48"/>
      <c r="E72" s="48"/>
      <c r="F72" s="48"/>
      <c r="G72" s="48"/>
      <c r="H72" s="48"/>
      <c r="I72" s="48"/>
      <c r="J72" s="48"/>
      <c r="K72" s="50"/>
      <c r="L72" s="48"/>
      <c r="M72" s="48"/>
      <c r="N72" s="50"/>
      <c r="O72" s="48"/>
      <c r="P72" s="48"/>
      <c r="Q72" s="48"/>
      <c r="R72" s="48"/>
      <c r="S72" s="48"/>
      <c r="T72" s="48"/>
      <c r="U72" s="48"/>
      <c r="V72" s="48"/>
      <c r="W72" s="48"/>
      <c r="X72" s="48"/>
      <c r="Y72" s="48"/>
      <c r="Z72" s="48"/>
      <c r="AA72" s="48"/>
      <c r="AB72" s="48"/>
      <c r="AC72" s="48"/>
      <c r="AD72" s="48"/>
    </row>
    <row r="73" spans="1:30" ht="15.75" customHeight="1">
      <c r="A73" s="85"/>
      <c r="B73" s="48"/>
      <c r="C73" s="48"/>
      <c r="D73" s="48"/>
      <c r="E73" s="48"/>
      <c r="F73" s="48"/>
      <c r="G73" s="48"/>
      <c r="H73" s="48"/>
      <c r="I73" s="48"/>
      <c r="J73" s="48"/>
      <c r="K73" s="50"/>
      <c r="L73" s="48"/>
      <c r="M73" s="48"/>
      <c r="N73" s="50"/>
      <c r="O73" s="48"/>
      <c r="P73" s="48"/>
      <c r="Q73" s="48"/>
      <c r="R73" s="48"/>
      <c r="S73" s="48"/>
      <c r="T73" s="48"/>
      <c r="U73" s="48"/>
      <c r="V73" s="48"/>
      <c r="W73" s="48"/>
      <c r="X73" s="48"/>
      <c r="Y73" s="48"/>
      <c r="Z73" s="48"/>
      <c r="AA73" s="48"/>
      <c r="AB73" s="48"/>
      <c r="AC73" s="48"/>
      <c r="AD73" s="48"/>
    </row>
    <row r="74" spans="1:30" ht="15.75" customHeight="1">
      <c r="A74" s="85"/>
      <c r="B74" s="48"/>
      <c r="C74" s="48"/>
      <c r="D74" s="48"/>
      <c r="E74" s="48"/>
      <c r="F74" s="48"/>
      <c r="G74" s="48"/>
      <c r="H74" s="48"/>
      <c r="I74" s="48"/>
      <c r="J74" s="48"/>
      <c r="K74" s="50"/>
      <c r="L74" s="48"/>
      <c r="M74" s="48"/>
      <c r="N74" s="50"/>
      <c r="O74" s="48"/>
      <c r="P74" s="48"/>
      <c r="Q74" s="48"/>
      <c r="R74" s="48"/>
      <c r="S74" s="48"/>
      <c r="T74" s="48"/>
      <c r="U74" s="48"/>
      <c r="V74" s="48"/>
      <c r="W74" s="48"/>
      <c r="X74" s="48"/>
      <c r="Y74" s="48"/>
      <c r="Z74" s="48"/>
      <c r="AA74" s="48"/>
      <c r="AB74" s="48"/>
      <c r="AC74" s="48"/>
      <c r="AD74" s="48"/>
    </row>
    <row r="75" spans="1:30" ht="15.75" customHeight="1">
      <c r="A75" s="85"/>
      <c r="B75" s="48"/>
      <c r="C75" s="48"/>
      <c r="D75" s="48"/>
      <c r="E75" s="48"/>
      <c r="F75" s="48"/>
      <c r="G75" s="48"/>
      <c r="H75" s="48"/>
      <c r="I75" s="48"/>
      <c r="J75" s="48"/>
      <c r="K75" s="50"/>
      <c r="L75" s="48"/>
      <c r="M75" s="48"/>
      <c r="N75" s="50"/>
      <c r="O75" s="48"/>
      <c r="P75" s="48"/>
      <c r="Q75" s="48"/>
      <c r="R75" s="48"/>
      <c r="S75" s="48"/>
      <c r="T75" s="48"/>
      <c r="U75" s="48"/>
      <c r="V75" s="48"/>
      <c r="W75" s="48"/>
      <c r="X75" s="48"/>
      <c r="Y75" s="48"/>
      <c r="Z75" s="48"/>
      <c r="AA75" s="48"/>
      <c r="AB75" s="48"/>
      <c r="AC75" s="48"/>
      <c r="AD75" s="48"/>
    </row>
    <row r="76" spans="1:30" ht="15.75" customHeight="1">
      <c r="A76" s="85"/>
      <c r="B76" s="48"/>
      <c r="C76" s="48"/>
      <c r="D76" s="48"/>
      <c r="E76" s="48"/>
      <c r="F76" s="48"/>
      <c r="G76" s="48"/>
      <c r="H76" s="48"/>
      <c r="I76" s="48"/>
      <c r="J76" s="48"/>
      <c r="K76" s="50"/>
      <c r="L76" s="48"/>
      <c r="M76" s="48"/>
      <c r="N76" s="50"/>
      <c r="O76" s="48"/>
      <c r="P76" s="48"/>
      <c r="Q76" s="48"/>
      <c r="R76" s="48"/>
      <c r="S76" s="48"/>
      <c r="T76" s="48"/>
      <c r="U76" s="48"/>
      <c r="V76" s="48"/>
      <c r="W76" s="48"/>
      <c r="X76" s="48"/>
      <c r="Y76" s="48"/>
      <c r="Z76" s="48"/>
      <c r="AA76" s="48"/>
      <c r="AB76" s="48"/>
      <c r="AC76" s="48"/>
      <c r="AD76" s="48"/>
    </row>
    <row r="77" spans="1:30" ht="15.75" customHeight="1">
      <c r="A77" s="85"/>
      <c r="B77" s="48"/>
      <c r="C77" s="48"/>
      <c r="D77" s="48"/>
      <c r="E77" s="48"/>
      <c r="F77" s="48"/>
      <c r="G77" s="48"/>
      <c r="H77" s="48"/>
      <c r="I77" s="48"/>
      <c r="J77" s="48"/>
      <c r="K77" s="50"/>
      <c r="L77" s="48"/>
      <c r="M77" s="48"/>
      <c r="N77" s="50"/>
      <c r="O77" s="48"/>
      <c r="P77" s="48"/>
      <c r="Q77" s="48"/>
      <c r="R77" s="48"/>
      <c r="S77" s="48"/>
      <c r="T77" s="48"/>
      <c r="U77" s="48"/>
      <c r="V77" s="48"/>
      <c r="W77" s="48"/>
      <c r="X77" s="48"/>
      <c r="Y77" s="48"/>
      <c r="Z77" s="48"/>
      <c r="AA77" s="48"/>
      <c r="AB77" s="48"/>
      <c r="AC77" s="48"/>
      <c r="AD77" s="48"/>
    </row>
    <row r="78" spans="1:30" ht="15.75" customHeight="1">
      <c r="A78" s="85"/>
      <c r="B78" s="48"/>
      <c r="C78" s="48"/>
      <c r="D78" s="48"/>
      <c r="E78" s="48"/>
      <c r="F78" s="48"/>
      <c r="G78" s="48"/>
      <c r="H78" s="48"/>
      <c r="I78" s="48"/>
      <c r="J78" s="48"/>
      <c r="K78" s="50"/>
      <c r="L78" s="48"/>
      <c r="M78" s="48"/>
      <c r="N78" s="50"/>
      <c r="O78" s="48"/>
      <c r="P78" s="48"/>
      <c r="Q78" s="48"/>
      <c r="R78" s="48"/>
      <c r="S78" s="48"/>
      <c r="T78" s="48"/>
      <c r="U78" s="48"/>
      <c r="V78" s="48"/>
      <c r="W78" s="48"/>
      <c r="X78" s="48"/>
      <c r="Y78" s="48"/>
      <c r="Z78" s="48"/>
      <c r="AA78" s="48"/>
      <c r="AB78" s="48"/>
      <c r="AC78" s="48"/>
      <c r="AD78" s="48"/>
    </row>
    <row r="79" spans="1:30" ht="15.75" customHeight="1">
      <c r="A79" s="85"/>
      <c r="B79" s="48"/>
      <c r="C79" s="48"/>
      <c r="D79" s="48"/>
      <c r="E79" s="48"/>
      <c r="F79" s="48"/>
      <c r="G79" s="48"/>
      <c r="H79" s="48"/>
      <c r="I79" s="48"/>
      <c r="J79" s="48"/>
      <c r="K79" s="50"/>
      <c r="L79" s="48"/>
      <c r="M79" s="48"/>
      <c r="N79" s="50"/>
      <c r="O79" s="48"/>
      <c r="P79" s="48"/>
      <c r="Q79" s="48"/>
      <c r="R79" s="48"/>
      <c r="S79" s="48"/>
      <c r="T79" s="48"/>
      <c r="U79" s="48"/>
      <c r="V79" s="48"/>
      <c r="W79" s="48"/>
      <c r="X79" s="48"/>
      <c r="Y79" s="48"/>
      <c r="Z79" s="48"/>
      <c r="AA79" s="48"/>
      <c r="AB79" s="48"/>
      <c r="AC79" s="48"/>
      <c r="AD79" s="48"/>
    </row>
    <row r="80" spans="1:30" ht="15.75" customHeight="1">
      <c r="A80" s="85"/>
      <c r="B80" s="48"/>
      <c r="C80" s="48"/>
      <c r="D80" s="48"/>
      <c r="E80" s="48"/>
      <c r="F80" s="48"/>
      <c r="G80" s="48"/>
      <c r="H80" s="48"/>
      <c r="I80" s="48"/>
      <c r="J80" s="48"/>
      <c r="K80" s="50"/>
      <c r="L80" s="48"/>
      <c r="M80" s="48"/>
      <c r="N80" s="50"/>
      <c r="O80" s="48"/>
      <c r="P80" s="48"/>
      <c r="Q80" s="48"/>
      <c r="R80" s="48"/>
      <c r="S80" s="48"/>
      <c r="T80" s="48"/>
      <c r="U80" s="48"/>
      <c r="V80" s="48"/>
      <c r="W80" s="48"/>
      <c r="X80" s="48"/>
      <c r="Y80" s="48"/>
      <c r="Z80" s="48"/>
      <c r="AA80" s="48"/>
      <c r="AB80" s="48"/>
      <c r="AC80" s="48"/>
      <c r="AD80" s="48"/>
    </row>
    <row r="81" spans="1:30" ht="15.75" customHeight="1">
      <c r="A81" s="85"/>
      <c r="B81" s="48"/>
      <c r="C81" s="48"/>
      <c r="D81" s="48"/>
      <c r="E81" s="48"/>
      <c r="F81" s="48"/>
      <c r="G81" s="48"/>
      <c r="H81" s="48"/>
      <c r="I81" s="48"/>
      <c r="J81" s="48"/>
      <c r="K81" s="50"/>
      <c r="L81" s="48"/>
      <c r="M81" s="48"/>
      <c r="N81" s="50"/>
      <c r="O81" s="48"/>
      <c r="P81" s="48"/>
      <c r="Q81" s="48"/>
      <c r="R81" s="48"/>
      <c r="S81" s="48"/>
      <c r="T81" s="48"/>
      <c r="U81" s="48"/>
      <c r="V81" s="48"/>
      <c r="W81" s="48"/>
      <c r="X81" s="48"/>
      <c r="Y81" s="48"/>
      <c r="Z81" s="48"/>
      <c r="AA81" s="48"/>
      <c r="AB81" s="48"/>
      <c r="AC81" s="48"/>
      <c r="AD81" s="48"/>
    </row>
    <row r="82" spans="1:30" ht="15.75" customHeight="1">
      <c r="A82" s="85"/>
      <c r="B82" s="48"/>
      <c r="C82" s="48"/>
      <c r="D82" s="48"/>
      <c r="E82" s="48"/>
      <c r="F82" s="48"/>
      <c r="G82" s="48"/>
      <c r="H82" s="48"/>
      <c r="I82" s="48"/>
      <c r="J82" s="48"/>
      <c r="K82" s="50"/>
      <c r="L82" s="48"/>
      <c r="M82" s="48"/>
      <c r="N82" s="50"/>
      <c r="O82" s="48"/>
      <c r="P82" s="48"/>
      <c r="Q82" s="48"/>
      <c r="R82" s="48"/>
      <c r="S82" s="48"/>
      <c r="T82" s="48"/>
      <c r="U82" s="48"/>
      <c r="V82" s="48"/>
      <c r="W82" s="48"/>
      <c r="X82" s="48"/>
      <c r="Y82" s="48"/>
      <c r="Z82" s="48"/>
      <c r="AA82" s="48"/>
      <c r="AB82" s="48"/>
      <c r="AC82" s="48"/>
      <c r="AD82" s="48"/>
    </row>
    <row r="83" spans="1:30" ht="15.75" customHeight="1">
      <c r="A83" s="85"/>
      <c r="B83" s="48"/>
      <c r="C83" s="48"/>
      <c r="D83" s="48"/>
      <c r="E83" s="48"/>
      <c r="F83" s="48"/>
      <c r="G83" s="48"/>
      <c r="H83" s="48"/>
      <c r="I83" s="48"/>
      <c r="J83" s="48"/>
      <c r="K83" s="50"/>
      <c r="L83" s="48"/>
      <c r="M83" s="48"/>
      <c r="N83" s="50"/>
      <c r="O83" s="48"/>
      <c r="P83" s="48"/>
      <c r="Q83" s="48"/>
      <c r="R83" s="48"/>
      <c r="S83" s="48"/>
      <c r="T83" s="48"/>
      <c r="U83" s="48"/>
      <c r="V83" s="48"/>
      <c r="W83" s="48"/>
      <c r="X83" s="48"/>
      <c r="Y83" s="48"/>
      <c r="Z83" s="48"/>
      <c r="AA83" s="48"/>
      <c r="AB83" s="48"/>
      <c r="AC83" s="48"/>
      <c r="AD83" s="48"/>
    </row>
    <row r="84" spans="1:30" ht="15.75" customHeight="1">
      <c r="A84" s="85"/>
      <c r="B84" s="48"/>
      <c r="C84" s="48"/>
      <c r="D84" s="48"/>
      <c r="E84" s="48"/>
      <c r="F84" s="48"/>
      <c r="G84" s="48"/>
      <c r="H84" s="48"/>
      <c r="I84" s="48"/>
      <c r="J84" s="48"/>
      <c r="K84" s="50"/>
      <c r="L84" s="48"/>
      <c r="M84" s="48"/>
      <c r="N84" s="50"/>
      <c r="O84" s="48"/>
      <c r="P84" s="48"/>
      <c r="Q84" s="48"/>
      <c r="R84" s="48"/>
      <c r="S84" s="48"/>
      <c r="T84" s="48"/>
      <c r="U84" s="48"/>
      <c r="V84" s="48"/>
      <c r="W84" s="48"/>
      <c r="X84" s="48"/>
      <c r="Y84" s="48"/>
      <c r="Z84" s="48"/>
      <c r="AA84" s="48"/>
      <c r="AB84" s="48"/>
      <c r="AC84" s="48"/>
      <c r="AD84" s="48"/>
    </row>
    <row r="85" spans="1:30" ht="15.75" customHeight="1">
      <c r="A85" s="85"/>
      <c r="B85" s="48"/>
      <c r="C85" s="48"/>
      <c r="D85" s="48"/>
      <c r="E85" s="48"/>
      <c r="F85" s="48"/>
      <c r="G85" s="48"/>
      <c r="H85" s="48"/>
      <c r="I85" s="48"/>
      <c r="J85" s="48"/>
      <c r="K85" s="50"/>
      <c r="L85" s="48"/>
      <c r="M85" s="48"/>
      <c r="N85" s="50"/>
      <c r="O85" s="48"/>
      <c r="P85" s="48"/>
      <c r="Q85" s="48"/>
      <c r="R85" s="48"/>
      <c r="S85" s="48"/>
      <c r="T85" s="48"/>
      <c r="U85" s="48"/>
      <c r="V85" s="48"/>
      <c r="W85" s="48"/>
      <c r="X85" s="48"/>
      <c r="Y85" s="48"/>
      <c r="Z85" s="48"/>
      <c r="AA85" s="48"/>
      <c r="AB85" s="48"/>
      <c r="AC85" s="48"/>
      <c r="AD85" s="48"/>
    </row>
    <row r="86" spans="1:30" ht="15.75" customHeight="1">
      <c r="A86" s="85"/>
      <c r="B86" s="48"/>
      <c r="C86" s="48"/>
      <c r="D86" s="48"/>
      <c r="E86" s="48"/>
      <c r="F86" s="48"/>
      <c r="G86" s="48"/>
      <c r="H86" s="48"/>
      <c r="I86" s="48"/>
      <c r="J86" s="48"/>
      <c r="K86" s="50"/>
      <c r="L86" s="48"/>
      <c r="M86" s="48"/>
      <c r="N86" s="50"/>
      <c r="O86" s="48"/>
      <c r="P86" s="48"/>
      <c r="Q86" s="48"/>
      <c r="R86" s="48"/>
      <c r="S86" s="48"/>
      <c r="T86" s="48"/>
      <c r="U86" s="48"/>
      <c r="V86" s="48"/>
      <c r="W86" s="48"/>
      <c r="X86" s="48"/>
      <c r="Y86" s="48"/>
      <c r="Z86" s="48"/>
      <c r="AA86" s="48"/>
      <c r="AB86" s="48"/>
      <c r="AC86" s="48"/>
      <c r="AD86" s="48"/>
    </row>
    <row r="87" spans="1:30" ht="15.75" customHeight="1">
      <c r="A87" s="85"/>
      <c r="B87" s="48"/>
      <c r="C87" s="48"/>
      <c r="D87" s="48"/>
      <c r="E87" s="48"/>
      <c r="F87" s="48"/>
      <c r="G87" s="48"/>
      <c r="H87" s="48"/>
      <c r="I87" s="48"/>
      <c r="J87" s="48"/>
      <c r="K87" s="50"/>
      <c r="L87" s="48"/>
      <c r="M87" s="48"/>
      <c r="N87" s="50"/>
      <c r="O87" s="48"/>
      <c r="P87" s="48"/>
      <c r="Q87" s="48"/>
      <c r="R87" s="48"/>
      <c r="S87" s="48"/>
      <c r="T87" s="48"/>
      <c r="U87" s="48"/>
      <c r="V87" s="48"/>
      <c r="W87" s="48"/>
      <c r="X87" s="48"/>
      <c r="Y87" s="48"/>
      <c r="Z87" s="48"/>
      <c r="AA87" s="48"/>
      <c r="AB87" s="48"/>
      <c r="AC87" s="48"/>
      <c r="AD87" s="48"/>
    </row>
    <row r="88" spans="1:30" ht="15.75" customHeight="1">
      <c r="A88" s="85"/>
      <c r="B88" s="48"/>
      <c r="C88" s="48"/>
      <c r="D88" s="48"/>
      <c r="E88" s="48"/>
      <c r="F88" s="48"/>
      <c r="G88" s="48"/>
      <c r="H88" s="48"/>
      <c r="I88" s="48"/>
      <c r="J88" s="48"/>
      <c r="K88" s="50"/>
      <c r="L88" s="48"/>
      <c r="M88" s="48"/>
      <c r="N88" s="50"/>
      <c r="O88" s="48"/>
      <c r="P88" s="48"/>
      <c r="Q88" s="48"/>
      <c r="R88" s="48"/>
      <c r="S88" s="48"/>
      <c r="T88" s="48"/>
      <c r="U88" s="48"/>
      <c r="V88" s="48"/>
      <c r="W88" s="48"/>
      <c r="X88" s="48"/>
      <c r="Y88" s="48"/>
      <c r="Z88" s="48"/>
      <c r="AA88" s="48"/>
      <c r="AB88" s="48"/>
      <c r="AC88" s="48"/>
      <c r="AD88" s="48"/>
    </row>
    <row r="89" spans="1:30" ht="15.75" customHeight="1">
      <c r="A89" s="85"/>
      <c r="B89" s="48"/>
      <c r="C89" s="48"/>
      <c r="D89" s="48"/>
      <c r="E89" s="48"/>
      <c r="F89" s="48"/>
      <c r="G89" s="48"/>
      <c r="H89" s="48"/>
      <c r="I89" s="48"/>
      <c r="J89" s="48"/>
      <c r="K89" s="50"/>
      <c r="L89" s="48"/>
      <c r="M89" s="48"/>
      <c r="N89" s="50"/>
      <c r="O89" s="48"/>
      <c r="P89" s="48"/>
      <c r="Q89" s="48"/>
      <c r="R89" s="48"/>
      <c r="S89" s="48"/>
      <c r="T89" s="48"/>
      <c r="U89" s="48"/>
      <c r="V89" s="48"/>
      <c r="W89" s="48"/>
      <c r="X89" s="48"/>
      <c r="Y89" s="48"/>
      <c r="Z89" s="48"/>
      <c r="AA89" s="48"/>
      <c r="AB89" s="48"/>
      <c r="AC89" s="48"/>
      <c r="AD89" s="48"/>
    </row>
    <row r="90" spans="1:30" ht="15.75" customHeight="1">
      <c r="A90" s="85"/>
      <c r="B90" s="48"/>
      <c r="C90" s="48"/>
      <c r="D90" s="48"/>
      <c r="E90" s="48"/>
      <c r="F90" s="48"/>
      <c r="G90" s="48"/>
      <c r="H90" s="48"/>
      <c r="I90" s="48"/>
      <c r="J90" s="48"/>
      <c r="K90" s="50"/>
      <c r="L90" s="48"/>
      <c r="M90" s="48"/>
      <c r="N90" s="50"/>
      <c r="O90" s="48"/>
      <c r="P90" s="48"/>
      <c r="Q90" s="48"/>
      <c r="R90" s="48"/>
      <c r="S90" s="48"/>
      <c r="T90" s="48"/>
      <c r="U90" s="48"/>
      <c r="V90" s="48"/>
      <c r="W90" s="48"/>
      <c r="X90" s="48"/>
      <c r="Y90" s="48"/>
      <c r="Z90" s="48"/>
      <c r="AA90" s="48"/>
      <c r="AB90" s="48"/>
      <c r="AC90" s="48"/>
      <c r="AD90" s="48"/>
    </row>
    <row r="91" spans="1:30" ht="15.75" customHeight="1">
      <c r="A91" s="85"/>
      <c r="B91" s="48"/>
      <c r="C91" s="48"/>
      <c r="D91" s="48"/>
      <c r="E91" s="48"/>
      <c r="F91" s="48"/>
      <c r="G91" s="48"/>
      <c r="H91" s="48"/>
      <c r="I91" s="48"/>
      <c r="J91" s="48"/>
      <c r="K91" s="50"/>
      <c r="L91" s="48"/>
      <c r="M91" s="48"/>
      <c r="N91" s="50"/>
      <c r="O91" s="48"/>
      <c r="P91" s="48"/>
      <c r="Q91" s="48"/>
      <c r="R91" s="48"/>
      <c r="S91" s="48"/>
      <c r="T91" s="48"/>
      <c r="U91" s="48"/>
      <c r="V91" s="48"/>
      <c r="W91" s="48"/>
      <c r="X91" s="48"/>
      <c r="Y91" s="48"/>
      <c r="Z91" s="48"/>
      <c r="AA91" s="48"/>
      <c r="AB91" s="48"/>
      <c r="AC91" s="48"/>
      <c r="AD91" s="48"/>
    </row>
    <row r="92" spans="1:30" ht="15.75" customHeight="1">
      <c r="A92" s="85"/>
      <c r="B92" s="48"/>
      <c r="C92" s="48"/>
      <c r="D92" s="48"/>
      <c r="E92" s="48"/>
      <c r="F92" s="48"/>
      <c r="G92" s="48"/>
      <c r="H92" s="48"/>
      <c r="I92" s="48"/>
      <c r="J92" s="48"/>
      <c r="K92" s="50"/>
      <c r="L92" s="48"/>
      <c r="M92" s="48"/>
      <c r="N92" s="50"/>
      <c r="O92" s="48"/>
      <c r="P92" s="48"/>
      <c r="Q92" s="48"/>
      <c r="R92" s="48"/>
      <c r="S92" s="48"/>
      <c r="T92" s="48"/>
      <c r="U92" s="48"/>
      <c r="V92" s="48"/>
      <c r="W92" s="48"/>
      <c r="X92" s="48"/>
      <c r="Y92" s="48"/>
      <c r="Z92" s="48"/>
      <c r="AA92" s="48"/>
      <c r="AB92" s="48"/>
      <c r="AC92" s="48"/>
      <c r="AD92" s="48"/>
    </row>
    <row r="93" spans="1:30" ht="15.75" customHeight="1">
      <c r="A93" s="85"/>
      <c r="B93" s="48"/>
      <c r="C93" s="48"/>
      <c r="D93" s="48"/>
      <c r="E93" s="48"/>
      <c r="F93" s="48"/>
      <c r="G93" s="48"/>
      <c r="H93" s="48"/>
      <c r="I93" s="48"/>
      <c r="J93" s="48"/>
      <c r="K93" s="50"/>
      <c r="L93" s="48"/>
      <c r="M93" s="48"/>
      <c r="N93" s="50"/>
      <c r="O93" s="48"/>
      <c r="P93" s="48"/>
      <c r="Q93" s="48"/>
      <c r="R93" s="48"/>
      <c r="S93" s="48"/>
      <c r="T93" s="48"/>
      <c r="U93" s="48"/>
      <c r="V93" s="48"/>
      <c r="W93" s="48"/>
      <c r="X93" s="48"/>
      <c r="Y93" s="48"/>
      <c r="Z93" s="48"/>
      <c r="AA93" s="48"/>
      <c r="AB93" s="48"/>
      <c r="AC93" s="48"/>
      <c r="AD93" s="48"/>
    </row>
    <row r="94" spans="1:30" ht="15.75" customHeight="1">
      <c r="A94" s="85"/>
      <c r="B94" s="48"/>
      <c r="C94" s="48"/>
      <c r="D94" s="48"/>
      <c r="E94" s="48"/>
      <c r="F94" s="48"/>
      <c r="G94" s="48"/>
      <c r="H94" s="48"/>
      <c r="I94" s="48"/>
      <c r="J94" s="48"/>
      <c r="K94" s="50"/>
      <c r="L94" s="48"/>
      <c r="M94" s="48"/>
      <c r="N94" s="50"/>
      <c r="O94" s="48"/>
      <c r="P94" s="48"/>
      <c r="Q94" s="48"/>
      <c r="R94" s="48"/>
      <c r="S94" s="48"/>
      <c r="T94" s="48"/>
      <c r="U94" s="48"/>
      <c r="V94" s="48"/>
      <c r="W94" s="48"/>
      <c r="X94" s="48"/>
      <c r="Y94" s="48"/>
      <c r="Z94" s="48"/>
      <c r="AA94" s="48"/>
      <c r="AB94" s="48"/>
      <c r="AC94" s="48"/>
      <c r="AD94" s="48"/>
    </row>
    <row r="95" spans="1:30" ht="15.75" customHeight="1">
      <c r="A95" s="85"/>
      <c r="B95" s="48"/>
      <c r="C95" s="48"/>
      <c r="D95" s="48"/>
      <c r="E95" s="48"/>
      <c r="F95" s="48"/>
      <c r="G95" s="48"/>
      <c r="H95" s="48"/>
      <c r="I95" s="48"/>
      <c r="J95" s="48"/>
      <c r="K95" s="50"/>
      <c r="L95" s="48"/>
      <c r="M95" s="48"/>
      <c r="N95" s="50"/>
      <c r="O95" s="48"/>
      <c r="P95" s="48"/>
      <c r="Q95" s="48"/>
      <c r="R95" s="48"/>
      <c r="S95" s="48"/>
      <c r="T95" s="48"/>
      <c r="U95" s="48"/>
      <c r="V95" s="48"/>
      <c r="W95" s="48"/>
      <c r="X95" s="48"/>
      <c r="Y95" s="48"/>
      <c r="Z95" s="48"/>
      <c r="AA95" s="48"/>
      <c r="AB95" s="48"/>
      <c r="AC95" s="48"/>
      <c r="AD95" s="48"/>
    </row>
    <row r="96" spans="1:30" ht="15.75" customHeight="1">
      <c r="A96" s="85"/>
      <c r="B96" s="48"/>
      <c r="C96" s="48"/>
      <c r="D96" s="48"/>
      <c r="E96" s="48"/>
      <c r="F96" s="48"/>
      <c r="G96" s="48"/>
      <c r="H96" s="48"/>
      <c r="I96" s="48"/>
      <c r="J96" s="48"/>
      <c r="K96" s="50"/>
      <c r="L96" s="48"/>
      <c r="M96" s="48"/>
      <c r="N96" s="50"/>
      <c r="O96" s="48"/>
      <c r="P96" s="48"/>
      <c r="Q96" s="48"/>
      <c r="R96" s="48"/>
      <c r="S96" s="48"/>
      <c r="T96" s="48"/>
      <c r="U96" s="48"/>
      <c r="V96" s="48"/>
      <c r="W96" s="48"/>
      <c r="X96" s="48"/>
      <c r="Y96" s="48"/>
      <c r="Z96" s="48"/>
      <c r="AA96" s="48"/>
      <c r="AB96" s="48"/>
      <c r="AC96" s="48"/>
      <c r="AD96" s="48"/>
    </row>
    <row r="97" spans="1:30" ht="15.75" customHeight="1">
      <c r="A97" s="85"/>
      <c r="B97" s="48"/>
      <c r="C97" s="48"/>
      <c r="D97" s="48"/>
      <c r="E97" s="48"/>
      <c r="F97" s="48"/>
      <c r="G97" s="48"/>
      <c r="H97" s="48"/>
      <c r="I97" s="48"/>
      <c r="J97" s="48"/>
      <c r="K97" s="50"/>
      <c r="L97" s="48"/>
      <c r="M97" s="48"/>
      <c r="N97" s="50"/>
      <c r="O97" s="48"/>
      <c r="P97" s="48"/>
      <c r="Q97" s="48"/>
      <c r="R97" s="48"/>
      <c r="S97" s="48"/>
      <c r="T97" s="48"/>
      <c r="U97" s="48"/>
      <c r="V97" s="48"/>
      <c r="W97" s="48"/>
      <c r="X97" s="48"/>
      <c r="Y97" s="48"/>
      <c r="Z97" s="48"/>
      <c r="AA97" s="48"/>
      <c r="AB97" s="48"/>
      <c r="AC97" s="48"/>
      <c r="AD97" s="48"/>
    </row>
    <row r="98" spans="1:30" ht="15.75" customHeight="1">
      <c r="A98" s="85"/>
      <c r="B98" s="48"/>
      <c r="C98" s="48"/>
      <c r="D98" s="48"/>
      <c r="E98" s="48"/>
      <c r="F98" s="48"/>
      <c r="G98" s="48"/>
      <c r="H98" s="48"/>
      <c r="I98" s="48"/>
      <c r="J98" s="48"/>
      <c r="K98" s="50"/>
      <c r="L98" s="48"/>
      <c r="M98" s="48"/>
      <c r="N98" s="50"/>
      <c r="O98" s="48"/>
      <c r="P98" s="48"/>
      <c r="Q98" s="48"/>
      <c r="R98" s="48"/>
      <c r="S98" s="48"/>
      <c r="T98" s="48"/>
      <c r="U98" s="48"/>
      <c r="V98" s="48"/>
      <c r="W98" s="48"/>
      <c r="X98" s="48"/>
      <c r="Y98" s="48"/>
      <c r="Z98" s="48"/>
      <c r="AA98" s="48"/>
      <c r="AB98" s="48"/>
      <c r="AC98" s="48"/>
      <c r="AD98" s="48"/>
    </row>
    <row r="99" spans="1:30" ht="15.75" customHeight="1">
      <c r="A99" s="85"/>
      <c r="B99" s="48"/>
      <c r="C99" s="48"/>
      <c r="D99" s="48"/>
      <c r="E99" s="48"/>
      <c r="F99" s="48"/>
      <c r="G99" s="48"/>
      <c r="H99" s="48"/>
      <c r="I99" s="48"/>
      <c r="J99" s="48"/>
      <c r="K99" s="50"/>
      <c r="L99" s="48"/>
      <c r="M99" s="48"/>
      <c r="N99" s="50"/>
      <c r="O99" s="48"/>
      <c r="P99" s="48"/>
      <c r="Q99" s="48"/>
      <c r="R99" s="48"/>
      <c r="S99" s="48"/>
      <c r="T99" s="48"/>
      <c r="U99" s="48"/>
      <c r="V99" s="48"/>
      <c r="W99" s="48"/>
      <c r="X99" s="48"/>
      <c r="Y99" s="48"/>
      <c r="Z99" s="48"/>
      <c r="AA99" s="48"/>
      <c r="AB99" s="48"/>
      <c r="AC99" s="48"/>
      <c r="AD99" s="48"/>
    </row>
    <row r="100" spans="1:30" ht="15.75" customHeight="1">
      <c r="A100" s="85"/>
      <c r="B100" s="48"/>
      <c r="C100" s="48"/>
      <c r="D100" s="48"/>
      <c r="E100" s="48"/>
      <c r="F100" s="48"/>
      <c r="G100" s="48"/>
      <c r="H100" s="48"/>
      <c r="I100" s="48"/>
      <c r="J100" s="48"/>
      <c r="K100" s="50"/>
      <c r="L100" s="48"/>
      <c r="M100" s="48"/>
      <c r="N100" s="50"/>
      <c r="O100" s="48"/>
      <c r="P100" s="48"/>
      <c r="Q100" s="48"/>
      <c r="R100" s="48"/>
      <c r="S100" s="48"/>
      <c r="T100" s="48"/>
      <c r="U100" s="48"/>
      <c r="V100" s="48"/>
      <c r="W100" s="48"/>
      <c r="X100" s="48"/>
      <c r="Y100" s="48"/>
      <c r="Z100" s="48"/>
      <c r="AA100" s="48"/>
      <c r="AB100" s="48"/>
      <c r="AC100" s="48"/>
      <c r="AD100" s="48"/>
    </row>
    <row r="101" spans="1:30" ht="15.75" customHeight="1">
      <c r="A101" s="85"/>
      <c r="B101" s="48"/>
      <c r="C101" s="48"/>
      <c r="D101" s="48"/>
      <c r="E101" s="48"/>
      <c r="F101" s="48"/>
      <c r="G101" s="48"/>
      <c r="H101" s="48"/>
      <c r="I101" s="48"/>
      <c r="J101" s="48"/>
      <c r="K101" s="50"/>
      <c r="L101" s="48"/>
      <c r="M101" s="48"/>
      <c r="N101" s="50"/>
      <c r="O101" s="48"/>
      <c r="P101" s="48"/>
      <c r="Q101" s="48"/>
      <c r="R101" s="48"/>
      <c r="S101" s="48"/>
      <c r="T101" s="48"/>
      <c r="U101" s="48"/>
      <c r="V101" s="48"/>
      <c r="W101" s="48"/>
      <c r="X101" s="48"/>
      <c r="Y101" s="48"/>
      <c r="Z101" s="48"/>
      <c r="AA101" s="48"/>
      <c r="AB101" s="48"/>
      <c r="AC101" s="48"/>
      <c r="AD101" s="48"/>
    </row>
    <row r="102" spans="1:30" ht="15.75" customHeight="1">
      <c r="A102" s="85"/>
      <c r="B102" s="48"/>
      <c r="C102" s="48"/>
      <c r="D102" s="48"/>
      <c r="E102" s="48"/>
      <c r="F102" s="48"/>
      <c r="G102" s="48"/>
      <c r="H102" s="48"/>
      <c r="I102" s="48"/>
      <c r="J102" s="48"/>
      <c r="K102" s="50"/>
      <c r="L102" s="48"/>
      <c r="M102" s="48"/>
      <c r="N102" s="50"/>
      <c r="O102" s="48"/>
      <c r="P102" s="48"/>
      <c r="Q102" s="48"/>
      <c r="R102" s="48"/>
      <c r="S102" s="48"/>
      <c r="T102" s="48"/>
      <c r="U102" s="48"/>
      <c r="V102" s="48"/>
      <c r="W102" s="48"/>
      <c r="X102" s="48"/>
      <c r="Y102" s="48"/>
      <c r="Z102" s="48"/>
      <c r="AA102" s="48"/>
      <c r="AB102" s="48"/>
      <c r="AC102" s="48"/>
      <c r="AD102" s="48"/>
    </row>
    <row r="103" spans="1:30" ht="15.75" customHeight="1">
      <c r="A103" s="85"/>
      <c r="B103" s="48"/>
      <c r="C103" s="48"/>
      <c r="D103" s="48"/>
      <c r="E103" s="48"/>
      <c r="F103" s="48"/>
      <c r="G103" s="48"/>
      <c r="H103" s="48"/>
      <c r="I103" s="48"/>
      <c r="J103" s="48"/>
      <c r="K103" s="50"/>
      <c r="L103" s="48"/>
      <c r="M103" s="48"/>
      <c r="N103" s="50"/>
      <c r="O103" s="48"/>
      <c r="P103" s="48"/>
      <c r="Q103" s="48"/>
      <c r="R103" s="48"/>
      <c r="S103" s="48"/>
      <c r="T103" s="48"/>
      <c r="U103" s="48"/>
      <c r="V103" s="48"/>
      <c r="W103" s="48"/>
      <c r="X103" s="48"/>
      <c r="Y103" s="48"/>
      <c r="Z103" s="48"/>
      <c r="AA103" s="48"/>
      <c r="AB103" s="48"/>
      <c r="AC103" s="48"/>
      <c r="AD103" s="48"/>
    </row>
    <row r="104" spans="1:30" ht="15.75" customHeight="1">
      <c r="A104" s="85"/>
      <c r="B104" s="48"/>
      <c r="C104" s="48"/>
      <c r="D104" s="48"/>
      <c r="E104" s="48"/>
      <c r="F104" s="48"/>
      <c r="G104" s="48"/>
      <c r="H104" s="48"/>
      <c r="I104" s="48"/>
      <c r="J104" s="48"/>
      <c r="K104" s="50"/>
      <c r="L104" s="48"/>
      <c r="M104" s="48"/>
      <c r="N104" s="50"/>
      <c r="O104" s="48"/>
      <c r="P104" s="48"/>
      <c r="Q104" s="48"/>
      <c r="R104" s="48"/>
      <c r="S104" s="48"/>
      <c r="T104" s="48"/>
      <c r="U104" s="48"/>
      <c r="V104" s="48"/>
      <c r="W104" s="48"/>
      <c r="X104" s="48"/>
      <c r="Y104" s="48"/>
      <c r="Z104" s="48"/>
      <c r="AA104" s="48"/>
      <c r="AB104" s="48"/>
      <c r="AC104" s="48"/>
      <c r="AD104" s="48"/>
    </row>
    <row r="105" spans="1:30" ht="15.75" customHeight="1">
      <c r="A105" s="85"/>
      <c r="B105" s="48"/>
      <c r="C105" s="48"/>
      <c r="D105" s="48"/>
      <c r="E105" s="48"/>
      <c r="F105" s="48"/>
      <c r="G105" s="48"/>
      <c r="H105" s="48"/>
      <c r="I105" s="48"/>
      <c r="J105" s="48"/>
      <c r="K105" s="50"/>
      <c r="L105" s="48"/>
      <c r="M105" s="48"/>
      <c r="N105" s="50"/>
      <c r="O105" s="48"/>
      <c r="P105" s="48"/>
      <c r="Q105" s="48"/>
      <c r="R105" s="48"/>
      <c r="S105" s="48"/>
      <c r="T105" s="48"/>
      <c r="U105" s="48"/>
      <c r="V105" s="48"/>
      <c r="W105" s="48"/>
      <c r="X105" s="48"/>
      <c r="Y105" s="48"/>
      <c r="Z105" s="48"/>
      <c r="AA105" s="48"/>
      <c r="AB105" s="48"/>
      <c r="AC105" s="48"/>
      <c r="AD105" s="48"/>
    </row>
    <row r="106" spans="1:30" ht="15.75" customHeight="1">
      <c r="A106" s="85"/>
      <c r="B106" s="48"/>
      <c r="C106" s="48"/>
      <c r="D106" s="48"/>
      <c r="E106" s="48"/>
      <c r="F106" s="48"/>
      <c r="G106" s="48"/>
      <c r="H106" s="48"/>
      <c r="I106" s="48"/>
      <c r="J106" s="48"/>
      <c r="K106" s="50"/>
      <c r="L106" s="48"/>
      <c r="M106" s="48"/>
      <c r="N106" s="50"/>
      <c r="O106" s="48"/>
      <c r="P106" s="48"/>
      <c r="Q106" s="48"/>
      <c r="R106" s="48"/>
      <c r="S106" s="48"/>
      <c r="T106" s="48"/>
      <c r="U106" s="48"/>
      <c r="V106" s="48"/>
      <c r="W106" s="48"/>
      <c r="X106" s="48"/>
      <c r="Y106" s="48"/>
      <c r="Z106" s="48"/>
      <c r="AA106" s="48"/>
      <c r="AB106" s="48"/>
      <c r="AC106" s="48"/>
      <c r="AD106" s="48"/>
    </row>
    <row r="107" spans="1:30" ht="15.75" customHeight="1">
      <c r="A107" s="85"/>
      <c r="B107" s="48"/>
      <c r="C107" s="48"/>
      <c r="D107" s="48"/>
      <c r="E107" s="48"/>
      <c r="F107" s="48"/>
      <c r="G107" s="48"/>
      <c r="H107" s="48"/>
      <c r="I107" s="48"/>
      <c r="J107" s="48"/>
      <c r="K107" s="50"/>
      <c r="L107" s="48"/>
      <c r="M107" s="48"/>
      <c r="N107" s="50"/>
      <c r="O107" s="48"/>
      <c r="P107" s="48"/>
      <c r="Q107" s="48"/>
      <c r="R107" s="48"/>
      <c r="S107" s="48"/>
      <c r="T107" s="48"/>
      <c r="U107" s="48"/>
      <c r="V107" s="48"/>
      <c r="W107" s="48"/>
      <c r="X107" s="48"/>
      <c r="Y107" s="48"/>
      <c r="Z107" s="48"/>
      <c r="AA107" s="48"/>
      <c r="AB107" s="48"/>
      <c r="AC107" s="48"/>
      <c r="AD107" s="48"/>
    </row>
    <row r="108" spans="1:30" ht="15.75" customHeight="1">
      <c r="A108" s="85"/>
      <c r="B108" s="48"/>
      <c r="C108" s="48"/>
      <c r="D108" s="48"/>
      <c r="E108" s="48"/>
      <c r="F108" s="48"/>
      <c r="G108" s="48"/>
      <c r="H108" s="48"/>
      <c r="I108" s="48"/>
      <c r="J108" s="48"/>
      <c r="K108" s="50"/>
      <c r="L108" s="48"/>
      <c r="M108" s="48"/>
      <c r="N108" s="50"/>
      <c r="O108" s="48"/>
      <c r="P108" s="48"/>
      <c r="Q108" s="48"/>
      <c r="R108" s="48"/>
      <c r="S108" s="48"/>
      <c r="T108" s="48"/>
      <c r="U108" s="48"/>
      <c r="V108" s="48"/>
      <c r="W108" s="48"/>
      <c r="X108" s="48"/>
      <c r="Y108" s="48"/>
      <c r="Z108" s="48"/>
      <c r="AA108" s="48"/>
      <c r="AB108" s="48"/>
      <c r="AC108" s="48"/>
      <c r="AD108" s="48"/>
    </row>
    <row r="109" spans="1:30" ht="15.75" customHeight="1">
      <c r="A109" s="85"/>
      <c r="B109" s="48"/>
      <c r="C109" s="48"/>
      <c r="D109" s="48"/>
      <c r="E109" s="48"/>
      <c r="F109" s="48"/>
      <c r="G109" s="48"/>
      <c r="H109" s="48"/>
      <c r="I109" s="48"/>
      <c r="J109" s="48"/>
      <c r="K109" s="50"/>
      <c r="L109" s="48"/>
      <c r="M109" s="48"/>
      <c r="N109" s="50"/>
      <c r="O109" s="48"/>
      <c r="P109" s="48"/>
      <c r="Q109" s="48"/>
      <c r="R109" s="48"/>
      <c r="S109" s="48"/>
      <c r="T109" s="48"/>
      <c r="U109" s="48"/>
      <c r="V109" s="48"/>
      <c r="W109" s="48"/>
      <c r="X109" s="48"/>
      <c r="Y109" s="48"/>
      <c r="Z109" s="48"/>
      <c r="AA109" s="48"/>
      <c r="AB109" s="48"/>
      <c r="AC109" s="48"/>
      <c r="AD109" s="48"/>
    </row>
    <row r="110" spans="1:30" ht="15.75" customHeight="1">
      <c r="A110" s="85"/>
      <c r="B110" s="48"/>
      <c r="C110" s="48"/>
      <c r="D110" s="48"/>
      <c r="E110" s="48"/>
      <c r="F110" s="48"/>
      <c r="G110" s="48"/>
      <c r="H110" s="48"/>
      <c r="I110" s="48"/>
      <c r="J110" s="48"/>
      <c r="K110" s="50"/>
      <c r="L110" s="48"/>
      <c r="M110" s="48"/>
      <c r="N110" s="50"/>
      <c r="O110" s="48"/>
      <c r="P110" s="48"/>
      <c r="Q110" s="48"/>
      <c r="R110" s="48"/>
      <c r="S110" s="48"/>
      <c r="T110" s="48"/>
      <c r="U110" s="48"/>
      <c r="V110" s="48"/>
      <c r="W110" s="48"/>
      <c r="X110" s="48"/>
      <c r="Y110" s="48"/>
      <c r="Z110" s="48"/>
      <c r="AA110" s="48"/>
      <c r="AB110" s="48"/>
      <c r="AC110" s="48"/>
      <c r="AD110" s="48"/>
    </row>
    <row r="111" spans="1:30" ht="15.75" customHeight="1">
      <c r="A111" s="85"/>
      <c r="B111" s="48"/>
      <c r="C111" s="48"/>
      <c r="D111" s="48"/>
      <c r="E111" s="48"/>
      <c r="F111" s="48"/>
      <c r="G111" s="48"/>
      <c r="H111" s="48"/>
      <c r="I111" s="48"/>
      <c r="J111" s="48"/>
      <c r="K111" s="50"/>
      <c r="L111" s="48"/>
      <c r="M111" s="48"/>
      <c r="N111" s="50"/>
      <c r="O111" s="48"/>
      <c r="P111" s="48"/>
      <c r="Q111" s="48"/>
      <c r="R111" s="48"/>
      <c r="S111" s="48"/>
      <c r="T111" s="48"/>
      <c r="U111" s="48"/>
      <c r="V111" s="48"/>
      <c r="W111" s="48"/>
      <c r="X111" s="48"/>
      <c r="Y111" s="48"/>
      <c r="Z111" s="48"/>
      <c r="AA111" s="48"/>
      <c r="AB111" s="48"/>
      <c r="AC111" s="48"/>
      <c r="AD111" s="48"/>
    </row>
    <row r="112" spans="1:30" ht="15.75" customHeight="1">
      <c r="A112" s="85"/>
      <c r="B112" s="48"/>
      <c r="C112" s="48"/>
      <c r="D112" s="48"/>
      <c r="E112" s="48"/>
      <c r="F112" s="48"/>
      <c r="G112" s="48"/>
      <c r="H112" s="48"/>
      <c r="I112" s="48"/>
      <c r="J112" s="48"/>
      <c r="K112" s="50"/>
      <c r="L112" s="48"/>
      <c r="M112" s="48"/>
      <c r="N112" s="50"/>
      <c r="O112" s="48"/>
      <c r="P112" s="48"/>
      <c r="Q112" s="48"/>
      <c r="R112" s="48"/>
      <c r="S112" s="48"/>
      <c r="T112" s="48"/>
      <c r="U112" s="48"/>
      <c r="V112" s="48"/>
      <c r="W112" s="48"/>
      <c r="X112" s="48"/>
      <c r="Y112" s="48"/>
      <c r="Z112" s="48"/>
      <c r="AA112" s="48"/>
      <c r="AB112" s="48"/>
      <c r="AC112" s="48"/>
      <c r="AD112" s="48"/>
    </row>
    <row r="113" spans="1:30" ht="15.75" customHeight="1">
      <c r="A113" s="85"/>
      <c r="B113" s="48"/>
      <c r="C113" s="48"/>
      <c r="D113" s="48"/>
      <c r="E113" s="48"/>
      <c r="F113" s="48"/>
      <c r="G113" s="48"/>
      <c r="H113" s="48"/>
      <c r="I113" s="48"/>
      <c r="J113" s="48"/>
      <c r="K113" s="50"/>
      <c r="L113" s="48"/>
      <c r="M113" s="48"/>
      <c r="N113" s="50"/>
      <c r="O113" s="48"/>
      <c r="P113" s="48"/>
      <c r="Q113" s="48"/>
      <c r="R113" s="48"/>
      <c r="S113" s="48"/>
      <c r="T113" s="48"/>
      <c r="U113" s="48"/>
      <c r="V113" s="48"/>
      <c r="W113" s="48"/>
      <c r="X113" s="48"/>
      <c r="Y113" s="48"/>
      <c r="Z113" s="48"/>
      <c r="AA113" s="48"/>
      <c r="AB113" s="48"/>
      <c r="AC113" s="48"/>
      <c r="AD113" s="48"/>
    </row>
    <row r="114" spans="1:30" ht="15.75" customHeight="1">
      <c r="A114" s="85"/>
      <c r="B114" s="48"/>
      <c r="C114" s="48"/>
      <c r="D114" s="48"/>
      <c r="E114" s="48"/>
      <c r="F114" s="48"/>
      <c r="G114" s="48"/>
      <c r="H114" s="48"/>
      <c r="I114" s="48"/>
      <c r="J114" s="48"/>
      <c r="K114" s="50"/>
      <c r="L114" s="48"/>
      <c r="M114" s="48"/>
      <c r="N114" s="50"/>
      <c r="O114" s="48"/>
      <c r="P114" s="48"/>
      <c r="Q114" s="48"/>
      <c r="R114" s="48"/>
      <c r="S114" s="48"/>
      <c r="T114" s="48"/>
      <c r="U114" s="48"/>
      <c r="V114" s="48"/>
      <c r="W114" s="48"/>
      <c r="X114" s="48"/>
      <c r="Y114" s="48"/>
      <c r="Z114" s="48"/>
      <c r="AA114" s="48"/>
      <c r="AB114" s="48"/>
      <c r="AC114" s="48"/>
      <c r="AD114" s="48"/>
    </row>
    <row r="115" spans="1:30" ht="15.75" customHeight="1">
      <c r="A115" s="85"/>
      <c r="B115" s="48"/>
      <c r="C115" s="48"/>
      <c r="D115" s="48"/>
      <c r="E115" s="48"/>
      <c r="F115" s="48"/>
      <c r="G115" s="48"/>
      <c r="H115" s="48"/>
      <c r="I115" s="48"/>
      <c r="J115" s="48"/>
      <c r="K115" s="50"/>
      <c r="L115" s="48"/>
      <c r="M115" s="48"/>
      <c r="N115" s="50"/>
      <c r="O115" s="48"/>
      <c r="P115" s="48"/>
      <c r="Q115" s="48"/>
      <c r="R115" s="48"/>
      <c r="S115" s="48"/>
      <c r="T115" s="48"/>
      <c r="U115" s="48"/>
      <c r="V115" s="48"/>
      <c r="W115" s="48"/>
      <c r="X115" s="48"/>
      <c r="Y115" s="48"/>
      <c r="Z115" s="48"/>
      <c r="AA115" s="48"/>
      <c r="AB115" s="48"/>
      <c r="AC115" s="48"/>
      <c r="AD115" s="48"/>
    </row>
    <row r="116" spans="1:30" ht="15.75" customHeight="1">
      <c r="A116" s="85"/>
      <c r="B116" s="48"/>
      <c r="C116" s="48"/>
      <c r="D116" s="48"/>
      <c r="E116" s="48"/>
      <c r="F116" s="48"/>
      <c r="G116" s="48"/>
      <c r="H116" s="48"/>
      <c r="I116" s="48"/>
      <c r="J116" s="48"/>
      <c r="K116" s="50"/>
      <c r="L116" s="48"/>
      <c r="M116" s="48"/>
      <c r="N116" s="50"/>
      <c r="O116" s="48"/>
      <c r="P116" s="48"/>
      <c r="Q116" s="48"/>
      <c r="R116" s="48"/>
      <c r="S116" s="48"/>
      <c r="T116" s="48"/>
      <c r="U116" s="48"/>
      <c r="V116" s="48"/>
      <c r="W116" s="48"/>
      <c r="X116" s="48"/>
      <c r="Y116" s="48"/>
      <c r="Z116" s="48"/>
      <c r="AA116" s="48"/>
      <c r="AB116" s="48"/>
      <c r="AC116" s="48"/>
      <c r="AD116" s="48"/>
    </row>
    <row r="117" spans="1:30" ht="15.75" customHeight="1">
      <c r="A117" s="85"/>
      <c r="B117" s="48"/>
      <c r="C117" s="48"/>
      <c r="D117" s="48"/>
      <c r="E117" s="48"/>
      <c r="F117" s="48"/>
      <c r="G117" s="48"/>
      <c r="H117" s="48"/>
      <c r="I117" s="48"/>
      <c r="J117" s="48"/>
      <c r="K117" s="50"/>
      <c r="L117" s="48"/>
      <c r="M117" s="48"/>
      <c r="N117" s="50"/>
      <c r="O117" s="48"/>
      <c r="P117" s="48"/>
      <c r="Q117" s="48"/>
      <c r="R117" s="48"/>
      <c r="S117" s="48"/>
      <c r="T117" s="48"/>
      <c r="U117" s="48"/>
      <c r="V117" s="48"/>
      <c r="W117" s="48"/>
      <c r="X117" s="48"/>
      <c r="Y117" s="48"/>
      <c r="Z117" s="48"/>
      <c r="AA117" s="48"/>
      <c r="AB117" s="48"/>
      <c r="AC117" s="48"/>
      <c r="AD117" s="48"/>
    </row>
    <row r="118" spans="1:30" ht="15.75" customHeight="1">
      <c r="A118" s="85"/>
      <c r="B118" s="48"/>
      <c r="C118" s="48"/>
      <c r="D118" s="48"/>
      <c r="E118" s="48"/>
      <c r="F118" s="48"/>
      <c r="G118" s="48"/>
      <c r="H118" s="48"/>
      <c r="I118" s="48"/>
      <c r="J118" s="48"/>
      <c r="K118" s="50"/>
      <c r="L118" s="48"/>
      <c r="M118" s="48"/>
      <c r="N118" s="50"/>
      <c r="O118" s="48"/>
      <c r="P118" s="48"/>
      <c r="Q118" s="48"/>
      <c r="R118" s="48"/>
      <c r="S118" s="48"/>
      <c r="T118" s="48"/>
      <c r="U118" s="48"/>
      <c r="V118" s="48"/>
      <c r="W118" s="48"/>
      <c r="X118" s="48"/>
      <c r="Y118" s="48"/>
      <c r="Z118" s="48"/>
      <c r="AA118" s="48"/>
      <c r="AB118" s="48"/>
      <c r="AC118" s="48"/>
      <c r="AD118" s="48"/>
    </row>
    <row r="119" spans="1:30" ht="15.75" customHeight="1">
      <c r="A119" s="85"/>
      <c r="B119" s="48"/>
      <c r="C119" s="48"/>
      <c r="D119" s="48"/>
      <c r="E119" s="48"/>
      <c r="F119" s="48"/>
      <c r="G119" s="48"/>
      <c r="H119" s="48"/>
      <c r="I119" s="48"/>
      <c r="J119" s="48"/>
      <c r="K119" s="50"/>
      <c r="L119" s="48"/>
      <c r="M119" s="48"/>
      <c r="N119" s="50"/>
      <c r="O119" s="48"/>
      <c r="P119" s="48"/>
      <c r="Q119" s="48"/>
      <c r="R119" s="48"/>
      <c r="S119" s="48"/>
      <c r="T119" s="48"/>
      <c r="U119" s="48"/>
      <c r="V119" s="48"/>
      <c r="W119" s="48"/>
      <c r="X119" s="48"/>
      <c r="Y119" s="48"/>
      <c r="Z119" s="48"/>
      <c r="AA119" s="48"/>
      <c r="AB119" s="48"/>
      <c r="AC119" s="48"/>
      <c r="AD119" s="48"/>
    </row>
    <row r="120" spans="1:30" ht="15.75" customHeight="1">
      <c r="A120" s="85"/>
      <c r="B120" s="48"/>
      <c r="C120" s="48"/>
      <c r="D120" s="48"/>
      <c r="E120" s="48"/>
      <c r="F120" s="48"/>
      <c r="G120" s="48"/>
      <c r="H120" s="48"/>
      <c r="I120" s="48"/>
      <c r="J120" s="48"/>
      <c r="K120" s="50"/>
      <c r="L120" s="48"/>
      <c r="M120" s="48"/>
      <c r="N120" s="50"/>
      <c r="O120" s="48"/>
      <c r="P120" s="48"/>
      <c r="Q120" s="48"/>
      <c r="R120" s="48"/>
      <c r="S120" s="48"/>
      <c r="T120" s="48"/>
      <c r="U120" s="48"/>
      <c r="V120" s="48"/>
      <c r="W120" s="48"/>
      <c r="X120" s="48"/>
      <c r="Y120" s="48"/>
      <c r="Z120" s="48"/>
      <c r="AA120" s="48"/>
      <c r="AB120" s="48"/>
      <c r="AC120" s="48"/>
      <c r="AD120" s="48"/>
    </row>
    <row r="121" spans="1:30" ht="15.75" customHeight="1">
      <c r="A121" s="85"/>
      <c r="B121" s="48"/>
      <c r="C121" s="48"/>
      <c r="D121" s="48"/>
      <c r="E121" s="48"/>
      <c r="F121" s="48"/>
      <c r="G121" s="48"/>
      <c r="H121" s="48"/>
      <c r="I121" s="48"/>
      <c r="J121" s="48"/>
      <c r="K121" s="50"/>
      <c r="L121" s="48"/>
      <c r="M121" s="48"/>
      <c r="N121" s="50"/>
      <c r="O121" s="48"/>
      <c r="P121" s="48"/>
      <c r="Q121" s="48"/>
      <c r="R121" s="48"/>
      <c r="S121" s="48"/>
      <c r="T121" s="48"/>
      <c r="U121" s="48"/>
      <c r="V121" s="48"/>
      <c r="W121" s="48"/>
      <c r="X121" s="48"/>
      <c r="Y121" s="48"/>
      <c r="Z121" s="48"/>
      <c r="AA121" s="48"/>
      <c r="AB121" s="48"/>
      <c r="AC121" s="48"/>
      <c r="AD121" s="48"/>
    </row>
    <row r="122" spans="1:30" ht="15.75" customHeight="1">
      <c r="A122" s="85"/>
      <c r="B122" s="48"/>
      <c r="C122" s="48"/>
      <c r="D122" s="48"/>
      <c r="E122" s="48"/>
      <c r="F122" s="48"/>
      <c r="G122" s="48"/>
      <c r="H122" s="48"/>
      <c r="I122" s="48"/>
      <c r="J122" s="48"/>
      <c r="K122" s="50"/>
      <c r="L122" s="48"/>
      <c r="M122" s="48"/>
      <c r="N122" s="50"/>
      <c r="O122" s="48"/>
      <c r="P122" s="48"/>
      <c r="Q122" s="48"/>
      <c r="R122" s="48"/>
      <c r="S122" s="48"/>
      <c r="T122" s="48"/>
      <c r="U122" s="48"/>
      <c r="V122" s="48"/>
      <c r="W122" s="48"/>
      <c r="X122" s="48"/>
      <c r="Y122" s="48"/>
      <c r="Z122" s="48"/>
      <c r="AA122" s="48"/>
      <c r="AB122" s="48"/>
      <c r="AC122" s="48"/>
      <c r="AD122" s="48"/>
    </row>
    <row r="123" spans="1:30" ht="15.75" customHeight="1">
      <c r="A123" s="85"/>
      <c r="B123" s="48"/>
      <c r="C123" s="48"/>
      <c r="D123" s="48"/>
      <c r="E123" s="48"/>
      <c r="F123" s="48"/>
      <c r="G123" s="48"/>
      <c r="H123" s="48"/>
      <c r="I123" s="48"/>
      <c r="J123" s="48"/>
      <c r="K123" s="50"/>
      <c r="L123" s="48"/>
      <c r="M123" s="48"/>
      <c r="N123" s="50"/>
      <c r="O123" s="48"/>
      <c r="P123" s="48"/>
      <c r="Q123" s="48"/>
      <c r="R123" s="48"/>
      <c r="S123" s="48"/>
      <c r="T123" s="48"/>
      <c r="U123" s="48"/>
      <c r="V123" s="48"/>
      <c r="W123" s="48"/>
      <c r="X123" s="48"/>
      <c r="Y123" s="48"/>
      <c r="Z123" s="48"/>
      <c r="AA123" s="48"/>
      <c r="AB123" s="48"/>
      <c r="AC123" s="48"/>
      <c r="AD123" s="48"/>
    </row>
    <row r="124" spans="1:30" ht="15.75" customHeight="1">
      <c r="A124" s="85"/>
      <c r="B124" s="48"/>
      <c r="C124" s="48"/>
      <c r="D124" s="48"/>
      <c r="E124" s="48"/>
      <c r="F124" s="48"/>
      <c r="G124" s="48"/>
      <c r="H124" s="48"/>
      <c r="I124" s="48"/>
      <c r="J124" s="48"/>
      <c r="K124" s="50"/>
      <c r="L124" s="48"/>
      <c r="M124" s="48"/>
      <c r="N124" s="50"/>
      <c r="O124" s="48"/>
      <c r="P124" s="48"/>
      <c r="Q124" s="48"/>
      <c r="R124" s="48"/>
      <c r="S124" s="48"/>
      <c r="T124" s="48"/>
      <c r="U124" s="48"/>
      <c r="V124" s="48"/>
      <c r="W124" s="48"/>
      <c r="X124" s="48"/>
      <c r="Y124" s="48"/>
      <c r="Z124" s="48"/>
      <c r="AA124" s="48"/>
      <c r="AB124" s="48"/>
      <c r="AC124" s="48"/>
      <c r="AD124" s="48"/>
    </row>
    <row r="125" spans="1:30" ht="15.75" customHeight="1">
      <c r="A125" s="85"/>
      <c r="B125" s="48"/>
      <c r="C125" s="48"/>
      <c r="D125" s="48"/>
      <c r="E125" s="48"/>
      <c r="F125" s="48"/>
      <c r="G125" s="48"/>
      <c r="H125" s="48"/>
      <c r="I125" s="48"/>
      <c r="J125" s="48"/>
      <c r="K125" s="50"/>
      <c r="L125" s="48"/>
      <c r="M125" s="48"/>
      <c r="N125" s="50"/>
      <c r="O125" s="48"/>
      <c r="P125" s="48"/>
      <c r="Q125" s="48"/>
      <c r="R125" s="48"/>
      <c r="S125" s="48"/>
      <c r="T125" s="48"/>
      <c r="U125" s="48"/>
      <c r="V125" s="48"/>
      <c r="W125" s="48"/>
      <c r="X125" s="48"/>
      <c r="Y125" s="48"/>
      <c r="Z125" s="48"/>
      <c r="AA125" s="48"/>
      <c r="AB125" s="48"/>
      <c r="AC125" s="48"/>
      <c r="AD125" s="48"/>
    </row>
    <row r="126" spans="1:30" ht="15.75" customHeight="1">
      <c r="A126" s="85"/>
      <c r="B126" s="48"/>
      <c r="C126" s="48"/>
      <c r="D126" s="48"/>
      <c r="E126" s="48"/>
      <c r="F126" s="48"/>
      <c r="G126" s="48"/>
      <c r="H126" s="48"/>
      <c r="I126" s="48"/>
      <c r="J126" s="48"/>
      <c r="K126" s="50"/>
      <c r="L126" s="48"/>
      <c r="M126" s="48"/>
      <c r="N126" s="50"/>
      <c r="O126" s="48"/>
      <c r="P126" s="48"/>
      <c r="Q126" s="48"/>
      <c r="R126" s="48"/>
      <c r="S126" s="48"/>
      <c r="T126" s="48"/>
      <c r="U126" s="48"/>
      <c r="V126" s="48"/>
      <c r="W126" s="48"/>
      <c r="X126" s="48"/>
      <c r="Y126" s="48"/>
      <c r="Z126" s="48"/>
      <c r="AA126" s="48"/>
      <c r="AB126" s="48"/>
      <c r="AC126" s="48"/>
      <c r="AD126" s="48"/>
    </row>
    <row r="127" spans="1:30" ht="15.75" customHeight="1">
      <c r="A127" s="85"/>
      <c r="B127" s="48"/>
      <c r="C127" s="48"/>
      <c r="D127" s="48"/>
      <c r="E127" s="48"/>
      <c r="F127" s="48"/>
      <c r="G127" s="48"/>
      <c r="H127" s="48"/>
      <c r="I127" s="48"/>
      <c r="J127" s="48"/>
      <c r="K127" s="50"/>
      <c r="L127" s="48"/>
      <c r="M127" s="48"/>
      <c r="N127" s="50"/>
      <c r="O127" s="48"/>
      <c r="P127" s="48"/>
      <c r="Q127" s="48"/>
      <c r="R127" s="48"/>
      <c r="S127" s="48"/>
      <c r="T127" s="48"/>
      <c r="U127" s="48"/>
      <c r="V127" s="48"/>
      <c r="W127" s="48"/>
      <c r="X127" s="48"/>
      <c r="Y127" s="48"/>
      <c r="Z127" s="48"/>
      <c r="AA127" s="48"/>
      <c r="AB127" s="48"/>
      <c r="AC127" s="48"/>
      <c r="AD127" s="48"/>
    </row>
    <row r="128" spans="1:30" ht="15.75" customHeight="1">
      <c r="A128" s="85"/>
      <c r="B128" s="48"/>
      <c r="C128" s="48"/>
      <c r="D128" s="48"/>
      <c r="E128" s="48"/>
      <c r="F128" s="48"/>
      <c r="G128" s="48"/>
      <c r="H128" s="48"/>
      <c r="I128" s="48"/>
      <c r="J128" s="48"/>
      <c r="K128" s="50"/>
      <c r="L128" s="48"/>
      <c r="M128" s="48"/>
      <c r="N128" s="50"/>
      <c r="O128" s="48"/>
      <c r="P128" s="48"/>
      <c r="Q128" s="48"/>
      <c r="R128" s="48"/>
      <c r="S128" s="48"/>
      <c r="T128" s="48"/>
      <c r="U128" s="48"/>
      <c r="V128" s="48"/>
      <c r="W128" s="48"/>
      <c r="X128" s="48"/>
      <c r="Y128" s="48"/>
      <c r="Z128" s="48"/>
      <c r="AA128" s="48"/>
      <c r="AB128" s="48"/>
      <c r="AC128" s="48"/>
      <c r="AD128" s="48"/>
    </row>
    <row r="129" spans="1:30" ht="15.75" customHeight="1">
      <c r="A129" s="85"/>
      <c r="B129" s="48"/>
      <c r="C129" s="48"/>
      <c r="D129" s="48"/>
      <c r="E129" s="48"/>
      <c r="F129" s="48"/>
      <c r="G129" s="48"/>
      <c r="H129" s="48"/>
      <c r="I129" s="48"/>
      <c r="J129" s="48"/>
      <c r="K129" s="50"/>
      <c r="L129" s="48"/>
      <c r="M129" s="48"/>
      <c r="N129" s="50"/>
      <c r="O129" s="48"/>
      <c r="P129" s="48"/>
      <c r="Q129" s="48"/>
      <c r="R129" s="48"/>
      <c r="S129" s="48"/>
      <c r="T129" s="48"/>
      <c r="U129" s="48"/>
      <c r="V129" s="48"/>
      <c r="W129" s="48"/>
      <c r="X129" s="48"/>
      <c r="Y129" s="48"/>
      <c r="Z129" s="48"/>
      <c r="AA129" s="48"/>
      <c r="AB129" s="48"/>
      <c r="AC129" s="48"/>
      <c r="AD129" s="48"/>
    </row>
    <row r="130" spans="1:30" ht="15.75" customHeight="1">
      <c r="A130" s="85"/>
      <c r="B130" s="48"/>
      <c r="C130" s="48"/>
      <c r="D130" s="48"/>
      <c r="E130" s="48"/>
      <c r="F130" s="48"/>
      <c r="G130" s="48"/>
      <c r="H130" s="48"/>
      <c r="I130" s="48"/>
      <c r="J130" s="48"/>
      <c r="K130" s="50"/>
      <c r="L130" s="48"/>
      <c r="M130" s="48"/>
      <c r="N130" s="50"/>
      <c r="O130" s="48"/>
      <c r="P130" s="48"/>
      <c r="Q130" s="48"/>
      <c r="R130" s="48"/>
      <c r="S130" s="48"/>
      <c r="T130" s="48"/>
      <c r="U130" s="48"/>
      <c r="V130" s="48"/>
      <c r="W130" s="48"/>
      <c r="X130" s="48"/>
      <c r="Y130" s="48"/>
      <c r="Z130" s="48"/>
      <c r="AA130" s="48"/>
      <c r="AB130" s="48"/>
      <c r="AC130" s="48"/>
      <c r="AD130" s="48"/>
    </row>
    <row r="131" spans="1:30" ht="15.75" customHeight="1">
      <c r="A131" s="85"/>
      <c r="B131" s="48"/>
      <c r="C131" s="48"/>
      <c r="D131" s="48"/>
      <c r="E131" s="48"/>
      <c r="F131" s="48"/>
      <c r="G131" s="48"/>
      <c r="H131" s="48"/>
      <c r="I131" s="48"/>
      <c r="J131" s="48"/>
      <c r="K131" s="50"/>
      <c r="L131" s="48"/>
      <c r="M131" s="48"/>
      <c r="N131" s="50"/>
      <c r="O131" s="48"/>
      <c r="P131" s="48"/>
      <c r="Q131" s="48"/>
      <c r="R131" s="48"/>
      <c r="S131" s="48"/>
      <c r="T131" s="48"/>
      <c r="U131" s="48"/>
      <c r="V131" s="48"/>
      <c r="W131" s="48"/>
      <c r="X131" s="48"/>
      <c r="Y131" s="48"/>
      <c r="Z131" s="48"/>
      <c r="AA131" s="48"/>
      <c r="AB131" s="48"/>
      <c r="AC131" s="48"/>
      <c r="AD131" s="48"/>
    </row>
    <row r="132" spans="1:30" ht="15.75" customHeight="1">
      <c r="A132" s="85"/>
      <c r="B132" s="48"/>
      <c r="C132" s="48"/>
      <c r="D132" s="48"/>
      <c r="E132" s="48"/>
      <c r="F132" s="48"/>
      <c r="G132" s="48"/>
      <c r="H132" s="48"/>
      <c r="I132" s="48"/>
      <c r="J132" s="48"/>
      <c r="K132" s="50"/>
      <c r="L132" s="48"/>
      <c r="M132" s="48"/>
      <c r="N132" s="50"/>
      <c r="O132" s="48"/>
      <c r="P132" s="48"/>
      <c r="Q132" s="48"/>
      <c r="R132" s="48"/>
      <c r="S132" s="48"/>
      <c r="T132" s="48"/>
      <c r="U132" s="48"/>
      <c r="V132" s="48"/>
      <c r="W132" s="48"/>
      <c r="X132" s="48"/>
      <c r="Y132" s="48"/>
      <c r="Z132" s="48"/>
      <c r="AA132" s="48"/>
      <c r="AB132" s="48"/>
      <c r="AC132" s="48"/>
      <c r="AD132" s="48"/>
    </row>
    <row r="133" spans="1:30" ht="15.75" customHeight="1">
      <c r="A133" s="85"/>
      <c r="B133" s="48"/>
      <c r="C133" s="48"/>
      <c r="D133" s="48"/>
      <c r="E133" s="48"/>
      <c r="F133" s="48"/>
      <c r="G133" s="48"/>
      <c r="H133" s="48"/>
      <c r="I133" s="48"/>
      <c r="J133" s="48"/>
      <c r="K133" s="50"/>
      <c r="L133" s="48"/>
      <c r="M133" s="48"/>
      <c r="N133" s="50"/>
      <c r="O133" s="48"/>
      <c r="P133" s="48"/>
      <c r="Q133" s="48"/>
      <c r="R133" s="48"/>
      <c r="S133" s="48"/>
      <c r="T133" s="48"/>
      <c r="U133" s="48"/>
      <c r="V133" s="48"/>
      <c r="W133" s="48"/>
      <c r="X133" s="48"/>
      <c r="Y133" s="48"/>
      <c r="Z133" s="48"/>
      <c r="AA133" s="48"/>
      <c r="AB133" s="48"/>
      <c r="AC133" s="48"/>
      <c r="AD133" s="48"/>
    </row>
    <row r="134" spans="1:30" ht="15.75" customHeight="1">
      <c r="A134" s="85"/>
      <c r="B134" s="48"/>
      <c r="C134" s="48"/>
      <c r="D134" s="48"/>
      <c r="E134" s="48"/>
      <c r="F134" s="48"/>
      <c r="G134" s="48"/>
      <c r="H134" s="48"/>
      <c r="I134" s="48"/>
      <c r="J134" s="48"/>
      <c r="K134" s="50"/>
      <c r="L134" s="48"/>
      <c r="M134" s="48"/>
      <c r="N134" s="50"/>
      <c r="O134" s="48"/>
      <c r="P134" s="48"/>
      <c r="Q134" s="48"/>
      <c r="R134" s="48"/>
      <c r="S134" s="48"/>
      <c r="T134" s="48"/>
      <c r="U134" s="48"/>
      <c r="V134" s="48"/>
      <c r="W134" s="48"/>
      <c r="X134" s="48"/>
      <c r="Y134" s="48"/>
      <c r="Z134" s="48"/>
      <c r="AA134" s="48"/>
      <c r="AB134" s="48"/>
      <c r="AC134" s="48"/>
      <c r="AD134" s="48"/>
    </row>
    <row r="135" spans="1:30" ht="15.75" customHeight="1">
      <c r="A135" s="85"/>
      <c r="B135" s="48"/>
      <c r="C135" s="48"/>
      <c r="D135" s="48"/>
      <c r="E135" s="48"/>
      <c r="F135" s="48"/>
      <c r="G135" s="48"/>
      <c r="H135" s="48"/>
      <c r="I135" s="48"/>
      <c r="J135" s="48"/>
      <c r="K135" s="50"/>
      <c r="L135" s="48"/>
      <c r="M135" s="48"/>
      <c r="N135" s="50"/>
      <c r="O135" s="48"/>
      <c r="P135" s="48"/>
      <c r="Q135" s="48"/>
      <c r="R135" s="48"/>
      <c r="S135" s="48"/>
      <c r="T135" s="48"/>
      <c r="U135" s="48"/>
      <c r="V135" s="48"/>
      <c r="W135" s="48"/>
      <c r="X135" s="48"/>
      <c r="Y135" s="48"/>
      <c r="Z135" s="48"/>
      <c r="AA135" s="48"/>
      <c r="AB135" s="48"/>
      <c r="AC135" s="48"/>
      <c r="AD135" s="48"/>
    </row>
    <row r="136" spans="1:30" ht="15.75" customHeight="1">
      <c r="A136" s="85"/>
      <c r="B136" s="48"/>
      <c r="C136" s="48"/>
      <c r="D136" s="48"/>
      <c r="E136" s="48"/>
      <c r="F136" s="48"/>
      <c r="G136" s="48"/>
      <c r="H136" s="48"/>
      <c r="I136" s="48"/>
      <c r="J136" s="48"/>
      <c r="K136" s="50"/>
      <c r="L136" s="48"/>
      <c r="M136" s="48"/>
      <c r="N136" s="50"/>
      <c r="O136" s="48"/>
      <c r="P136" s="48"/>
      <c r="Q136" s="48"/>
      <c r="R136" s="48"/>
      <c r="S136" s="48"/>
      <c r="T136" s="48"/>
      <c r="U136" s="48"/>
      <c r="V136" s="48"/>
      <c r="W136" s="48"/>
      <c r="X136" s="48"/>
      <c r="Y136" s="48"/>
      <c r="Z136" s="48"/>
      <c r="AA136" s="48"/>
      <c r="AB136" s="48"/>
      <c r="AC136" s="48"/>
      <c r="AD136" s="48"/>
    </row>
    <row r="137" spans="1:30" ht="15.75" customHeight="1">
      <c r="A137" s="85"/>
      <c r="B137" s="48"/>
      <c r="C137" s="48"/>
      <c r="D137" s="48"/>
      <c r="E137" s="48"/>
      <c r="F137" s="48"/>
      <c r="G137" s="48"/>
      <c r="H137" s="48"/>
      <c r="I137" s="48"/>
      <c r="J137" s="48"/>
      <c r="K137" s="50"/>
      <c r="L137" s="48"/>
      <c r="M137" s="48"/>
      <c r="N137" s="50"/>
      <c r="O137" s="48"/>
      <c r="P137" s="48"/>
      <c r="Q137" s="48"/>
      <c r="R137" s="48"/>
      <c r="S137" s="48"/>
      <c r="T137" s="48"/>
      <c r="U137" s="48"/>
      <c r="V137" s="48"/>
      <c r="W137" s="48"/>
      <c r="X137" s="48"/>
      <c r="Y137" s="48"/>
      <c r="Z137" s="48"/>
      <c r="AA137" s="48"/>
      <c r="AB137" s="48"/>
      <c r="AC137" s="48"/>
      <c r="AD137" s="48"/>
    </row>
    <row r="138" spans="1:30" ht="15.75" customHeight="1">
      <c r="A138" s="85"/>
      <c r="B138" s="48"/>
      <c r="C138" s="48"/>
      <c r="D138" s="48"/>
      <c r="E138" s="48"/>
      <c r="F138" s="48"/>
      <c r="G138" s="48"/>
      <c r="H138" s="48"/>
      <c r="I138" s="48"/>
      <c r="J138" s="48"/>
      <c r="K138" s="50"/>
      <c r="L138" s="48"/>
      <c r="M138" s="48"/>
      <c r="N138" s="50"/>
      <c r="O138" s="48"/>
      <c r="P138" s="48"/>
      <c r="Q138" s="48"/>
      <c r="R138" s="48"/>
      <c r="S138" s="48"/>
      <c r="T138" s="48"/>
      <c r="U138" s="48"/>
      <c r="V138" s="48"/>
      <c r="W138" s="48"/>
      <c r="X138" s="48"/>
      <c r="Y138" s="48"/>
      <c r="Z138" s="48"/>
      <c r="AA138" s="48"/>
      <c r="AB138" s="48"/>
      <c r="AC138" s="48"/>
      <c r="AD138" s="48"/>
    </row>
    <row r="139" spans="1:30" ht="15.75" customHeight="1">
      <c r="A139" s="85"/>
      <c r="B139" s="48"/>
      <c r="C139" s="48"/>
      <c r="D139" s="48"/>
      <c r="E139" s="48"/>
      <c r="F139" s="48"/>
      <c r="G139" s="48"/>
      <c r="H139" s="48"/>
      <c r="I139" s="48"/>
      <c r="J139" s="48"/>
      <c r="K139" s="50"/>
      <c r="L139" s="48"/>
      <c r="M139" s="48"/>
      <c r="N139" s="50"/>
      <c r="O139" s="48"/>
      <c r="P139" s="48"/>
      <c r="Q139" s="48"/>
      <c r="R139" s="48"/>
      <c r="S139" s="48"/>
      <c r="T139" s="48"/>
      <c r="U139" s="48"/>
      <c r="V139" s="48"/>
      <c r="W139" s="48"/>
      <c r="X139" s="48"/>
      <c r="Y139" s="48"/>
      <c r="Z139" s="48"/>
      <c r="AA139" s="48"/>
      <c r="AB139" s="48"/>
      <c r="AC139" s="48"/>
      <c r="AD139" s="48"/>
    </row>
    <row r="140" spans="1:30" ht="15.75" customHeight="1">
      <c r="A140" s="85"/>
      <c r="B140" s="48"/>
      <c r="C140" s="48"/>
      <c r="D140" s="48"/>
      <c r="E140" s="48"/>
      <c r="F140" s="48"/>
      <c r="G140" s="48"/>
      <c r="H140" s="48"/>
      <c r="I140" s="48"/>
      <c r="J140" s="48"/>
      <c r="K140" s="50"/>
      <c r="L140" s="48"/>
      <c r="M140" s="48"/>
      <c r="N140" s="50"/>
      <c r="O140" s="48"/>
      <c r="P140" s="48"/>
      <c r="Q140" s="48"/>
      <c r="R140" s="48"/>
      <c r="S140" s="48"/>
      <c r="T140" s="48"/>
      <c r="U140" s="48"/>
      <c r="V140" s="48"/>
      <c r="W140" s="48"/>
      <c r="X140" s="48"/>
      <c r="Y140" s="48"/>
      <c r="Z140" s="48"/>
      <c r="AA140" s="48"/>
      <c r="AB140" s="48"/>
      <c r="AC140" s="48"/>
      <c r="AD140" s="48"/>
    </row>
    <row r="141" spans="1:30" ht="15.75" customHeight="1">
      <c r="A141" s="85"/>
      <c r="B141" s="48"/>
      <c r="C141" s="48"/>
      <c r="D141" s="48"/>
      <c r="E141" s="48"/>
      <c r="F141" s="48"/>
      <c r="G141" s="48"/>
      <c r="H141" s="48"/>
      <c r="I141" s="48"/>
      <c r="J141" s="48"/>
      <c r="K141" s="50"/>
      <c r="L141" s="48"/>
      <c r="M141" s="48"/>
      <c r="N141" s="50"/>
      <c r="O141" s="48"/>
      <c r="P141" s="48"/>
      <c r="Q141" s="48"/>
      <c r="R141" s="48"/>
      <c r="S141" s="48"/>
      <c r="T141" s="48"/>
      <c r="U141" s="48"/>
      <c r="V141" s="48"/>
      <c r="W141" s="48"/>
      <c r="X141" s="48"/>
      <c r="Y141" s="48"/>
      <c r="Z141" s="48"/>
      <c r="AA141" s="48"/>
      <c r="AB141" s="48"/>
      <c r="AC141" s="48"/>
      <c r="AD141" s="48"/>
    </row>
    <row r="142" spans="1:30" ht="15.75" customHeight="1">
      <c r="A142" s="85"/>
      <c r="B142" s="48"/>
      <c r="C142" s="48"/>
      <c r="D142" s="48"/>
      <c r="E142" s="48"/>
      <c r="F142" s="48"/>
      <c r="G142" s="48"/>
      <c r="H142" s="48"/>
      <c r="I142" s="48"/>
      <c r="J142" s="48"/>
      <c r="K142" s="50"/>
      <c r="L142" s="48"/>
      <c r="M142" s="48"/>
      <c r="N142" s="50"/>
      <c r="O142" s="48"/>
      <c r="P142" s="48"/>
      <c r="Q142" s="48"/>
      <c r="R142" s="48"/>
      <c r="S142" s="48"/>
      <c r="T142" s="48"/>
      <c r="U142" s="48"/>
      <c r="V142" s="48"/>
      <c r="W142" s="48"/>
      <c r="X142" s="48"/>
      <c r="Y142" s="48"/>
      <c r="Z142" s="48"/>
      <c r="AA142" s="48"/>
      <c r="AB142" s="48"/>
      <c r="AC142" s="48"/>
      <c r="AD142" s="48"/>
    </row>
    <row r="143" spans="1:30" ht="15.75" customHeight="1">
      <c r="A143" s="85"/>
      <c r="B143" s="48"/>
      <c r="C143" s="48"/>
      <c r="D143" s="48"/>
      <c r="E143" s="48"/>
      <c r="F143" s="48"/>
      <c r="G143" s="48"/>
      <c r="H143" s="48"/>
      <c r="I143" s="48"/>
      <c r="J143" s="48"/>
      <c r="K143" s="50"/>
      <c r="L143" s="48"/>
      <c r="M143" s="48"/>
      <c r="N143" s="50"/>
      <c r="O143" s="48"/>
      <c r="P143" s="48"/>
      <c r="Q143" s="48"/>
      <c r="R143" s="48"/>
      <c r="S143" s="48"/>
      <c r="T143" s="48"/>
      <c r="U143" s="48"/>
      <c r="V143" s="48"/>
      <c r="W143" s="48"/>
      <c r="X143" s="48"/>
      <c r="Y143" s="48"/>
      <c r="Z143" s="48"/>
      <c r="AA143" s="48"/>
      <c r="AB143" s="48"/>
      <c r="AC143" s="48"/>
      <c r="AD143" s="48"/>
    </row>
    <row r="144" spans="1:30" ht="15.75" customHeight="1">
      <c r="A144" s="85"/>
      <c r="B144" s="48"/>
      <c r="C144" s="48"/>
      <c r="D144" s="48"/>
      <c r="E144" s="48"/>
      <c r="F144" s="48"/>
      <c r="G144" s="48"/>
      <c r="H144" s="48"/>
      <c r="I144" s="48"/>
      <c r="J144" s="48"/>
      <c r="K144" s="50"/>
      <c r="L144" s="48"/>
      <c r="M144" s="48"/>
      <c r="N144" s="50"/>
      <c r="O144" s="48"/>
      <c r="P144" s="48"/>
      <c r="Q144" s="48"/>
      <c r="R144" s="48"/>
      <c r="S144" s="48"/>
      <c r="T144" s="48"/>
      <c r="U144" s="48"/>
      <c r="V144" s="48"/>
      <c r="W144" s="48"/>
      <c r="X144" s="48"/>
      <c r="Y144" s="48"/>
      <c r="Z144" s="48"/>
      <c r="AA144" s="48"/>
      <c r="AB144" s="48"/>
      <c r="AC144" s="48"/>
      <c r="AD144" s="48"/>
    </row>
    <row r="145" spans="1:30" ht="15.75" customHeight="1">
      <c r="A145" s="85"/>
      <c r="B145" s="48"/>
      <c r="C145" s="48"/>
      <c r="D145" s="48"/>
      <c r="E145" s="48"/>
      <c r="F145" s="48"/>
      <c r="G145" s="48"/>
      <c r="H145" s="48"/>
      <c r="I145" s="48"/>
      <c r="J145" s="48"/>
      <c r="K145" s="50"/>
      <c r="L145" s="48"/>
      <c r="M145" s="48"/>
      <c r="N145" s="50"/>
      <c r="O145" s="48"/>
      <c r="P145" s="48"/>
      <c r="Q145" s="48"/>
      <c r="R145" s="48"/>
      <c r="S145" s="48"/>
      <c r="T145" s="48"/>
      <c r="U145" s="48"/>
      <c r="V145" s="48"/>
      <c r="W145" s="48"/>
      <c r="X145" s="48"/>
      <c r="Y145" s="48"/>
      <c r="Z145" s="48"/>
      <c r="AA145" s="48"/>
      <c r="AB145" s="48"/>
      <c r="AC145" s="48"/>
      <c r="AD145" s="48"/>
    </row>
    <row r="146" spans="1:30" ht="15.75" customHeight="1">
      <c r="A146" s="85"/>
      <c r="B146" s="48"/>
      <c r="C146" s="48"/>
      <c r="D146" s="48"/>
      <c r="E146" s="48"/>
      <c r="F146" s="48"/>
      <c r="G146" s="48"/>
      <c r="H146" s="48"/>
      <c r="I146" s="48"/>
      <c r="J146" s="48"/>
      <c r="K146" s="50"/>
      <c r="L146" s="48"/>
      <c r="M146" s="48"/>
      <c r="N146" s="50"/>
      <c r="O146" s="48"/>
      <c r="P146" s="48"/>
      <c r="Q146" s="48"/>
      <c r="R146" s="48"/>
      <c r="S146" s="48"/>
      <c r="T146" s="48"/>
      <c r="U146" s="48"/>
      <c r="V146" s="48"/>
      <c r="W146" s="48"/>
      <c r="X146" s="48"/>
      <c r="Y146" s="48"/>
      <c r="Z146" s="48"/>
      <c r="AA146" s="48"/>
      <c r="AB146" s="48"/>
      <c r="AC146" s="48"/>
      <c r="AD146" s="48"/>
    </row>
    <row r="147" spans="1:30" ht="15.75" customHeight="1">
      <c r="A147" s="85"/>
      <c r="B147" s="48"/>
      <c r="C147" s="48"/>
      <c r="D147" s="48"/>
      <c r="E147" s="48"/>
      <c r="F147" s="48"/>
      <c r="G147" s="48"/>
      <c r="H147" s="48"/>
      <c r="I147" s="48"/>
      <c r="J147" s="48"/>
      <c r="K147" s="50"/>
      <c r="L147" s="48"/>
      <c r="M147" s="48"/>
      <c r="N147" s="50"/>
      <c r="O147" s="48"/>
      <c r="P147" s="48"/>
      <c r="Q147" s="48"/>
      <c r="R147" s="48"/>
      <c r="S147" s="48"/>
      <c r="T147" s="48"/>
      <c r="U147" s="48"/>
      <c r="V147" s="48"/>
      <c r="W147" s="48"/>
      <c r="X147" s="48"/>
      <c r="Y147" s="48"/>
      <c r="Z147" s="48"/>
      <c r="AA147" s="48"/>
      <c r="AB147" s="48"/>
      <c r="AC147" s="48"/>
      <c r="AD147" s="48"/>
    </row>
    <row r="148" spans="1:30" ht="15.75" customHeight="1">
      <c r="A148" s="85"/>
      <c r="B148" s="48"/>
      <c r="C148" s="48"/>
      <c r="D148" s="48"/>
      <c r="E148" s="48"/>
      <c r="F148" s="48"/>
      <c r="G148" s="48"/>
      <c r="H148" s="48"/>
      <c r="I148" s="48"/>
      <c r="J148" s="48"/>
      <c r="K148" s="50"/>
      <c r="L148" s="48"/>
      <c r="M148" s="48"/>
      <c r="N148" s="50"/>
      <c r="O148" s="48"/>
      <c r="P148" s="48"/>
      <c r="Q148" s="48"/>
      <c r="R148" s="48"/>
      <c r="S148" s="48"/>
      <c r="T148" s="48"/>
      <c r="U148" s="48"/>
      <c r="V148" s="48"/>
      <c r="W148" s="48"/>
      <c r="X148" s="48"/>
      <c r="Y148" s="48"/>
      <c r="Z148" s="48"/>
      <c r="AA148" s="48"/>
      <c r="AB148" s="48"/>
      <c r="AC148" s="48"/>
      <c r="AD148" s="48"/>
    </row>
    <row r="149" spans="1:30" ht="15.75" customHeight="1">
      <c r="A149" s="85"/>
      <c r="B149" s="48"/>
      <c r="C149" s="48"/>
      <c r="D149" s="48"/>
      <c r="E149" s="48"/>
      <c r="F149" s="48"/>
      <c r="G149" s="48"/>
      <c r="H149" s="48"/>
      <c r="I149" s="48"/>
      <c r="J149" s="48"/>
      <c r="K149" s="50"/>
      <c r="L149" s="48"/>
      <c r="M149" s="48"/>
      <c r="N149" s="50"/>
      <c r="O149" s="48"/>
      <c r="P149" s="48"/>
      <c r="Q149" s="48"/>
      <c r="R149" s="48"/>
      <c r="S149" s="48"/>
      <c r="T149" s="48"/>
      <c r="U149" s="48"/>
      <c r="V149" s="48"/>
      <c r="W149" s="48"/>
      <c r="X149" s="48"/>
      <c r="Y149" s="48"/>
      <c r="Z149" s="48"/>
      <c r="AA149" s="48"/>
      <c r="AB149" s="48"/>
      <c r="AC149" s="48"/>
      <c r="AD149" s="48"/>
    </row>
    <row r="150" spans="1:30" ht="15.75" customHeight="1">
      <c r="A150" s="85"/>
      <c r="B150" s="48"/>
      <c r="C150" s="48"/>
      <c r="D150" s="48"/>
      <c r="E150" s="48"/>
      <c r="F150" s="48"/>
      <c r="G150" s="48"/>
      <c r="H150" s="48"/>
      <c r="I150" s="48"/>
      <c r="J150" s="48"/>
      <c r="K150" s="50"/>
      <c r="L150" s="48"/>
      <c r="M150" s="48"/>
      <c r="N150" s="50"/>
      <c r="O150" s="48"/>
      <c r="P150" s="48"/>
      <c r="Q150" s="48"/>
      <c r="R150" s="48"/>
      <c r="S150" s="48"/>
      <c r="T150" s="48"/>
      <c r="U150" s="48"/>
      <c r="V150" s="48"/>
      <c r="W150" s="48"/>
      <c r="X150" s="48"/>
      <c r="Y150" s="48"/>
      <c r="Z150" s="48"/>
      <c r="AA150" s="48"/>
      <c r="AB150" s="48"/>
      <c r="AC150" s="48"/>
      <c r="AD150" s="48"/>
    </row>
    <row r="151" spans="1:30" ht="15.75" customHeight="1">
      <c r="A151" s="85"/>
      <c r="B151" s="48"/>
      <c r="C151" s="48"/>
      <c r="D151" s="48"/>
      <c r="E151" s="48"/>
      <c r="F151" s="48"/>
      <c r="G151" s="48"/>
      <c r="H151" s="48"/>
      <c r="I151" s="48"/>
      <c r="J151" s="48"/>
      <c r="K151" s="50"/>
      <c r="L151" s="48"/>
      <c r="M151" s="48"/>
      <c r="N151" s="50"/>
      <c r="O151" s="48"/>
      <c r="P151" s="48"/>
      <c r="Q151" s="48"/>
      <c r="R151" s="48"/>
      <c r="S151" s="48"/>
      <c r="T151" s="48"/>
      <c r="U151" s="48"/>
      <c r="V151" s="48"/>
      <c r="W151" s="48"/>
      <c r="X151" s="48"/>
      <c r="Y151" s="48"/>
      <c r="Z151" s="48"/>
      <c r="AA151" s="48"/>
      <c r="AB151" s="48"/>
      <c r="AC151" s="48"/>
      <c r="AD151" s="48"/>
    </row>
    <row r="152" spans="1:30" ht="15.75" customHeight="1">
      <c r="A152" s="85"/>
      <c r="B152" s="48"/>
      <c r="C152" s="48"/>
      <c r="D152" s="48"/>
      <c r="E152" s="48"/>
      <c r="F152" s="48"/>
      <c r="G152" s="48"/>
      <c r="H152" s="48"/>
      <c r="I152" s="48"/>
      <c r="J152" s="48"/>
      <c r="K152" s="50"/>
      <c r="L152" s="48"/>
      <c r="M152" s="48"/>
      <c r="N152" s="50"/>
      <c r="O152" s="48"/>
      <c r="P152" s="48"/>
      <c r="Q152" s="48"/>
      <c r="R152" s="48"/>
      <c r="S152" s="48"/>
      <c r="T152" s="48"/>
      <c r="U152" s="48"/>
      <c r="V152" s="48"/>
      <c r="W152" s="48"/>
      <c r="X152" s="48"/>
      <c r="Y152" s="48"/>
      <c r="Z152" s="48"/>
      <c r="AA152" s="48"/>
      <c r="AB152" s="48"/>
      <c r="AC152" s="48"/>
      <c r="AD152" s="48"/>
    </row>
    <row r="153" spans="1:30" ht="15.75" customHeight="1">
      <c r="A153" s="85"/>
      <c r="B153" s="48"/>
      <c r="C153" s="48"/>
      <c r="D153" s="48"/>
      <c r="E153" s="48"/>
      <c r="F153" s="48"/>
      <c r="G153" s="48"/>
      <c r="H153" s="48"/>
      <c r="I153" s="48"/>
      <c r="J153" s="48"/>
      <c r="K153" s="50"/>
      <c r="L153" s="48"/>
      <c r="M153" s="48"/>
      <c r="N153" s="50"/>
      <c r="O153" s="48"/>
      <c r="P153" s="48"/>
      <c r="Q153" s="48"/>
      <c r="R153" s="48"/>
      <c r="S153" s="48"/>
      <c r="T153" s="48"/>
      <c r="U153" s="48"/>
      <c r="V153" s="48"/>
      <c r="W153" s="48"/>
      <c r="X153" s="48"/>
      <c r="Y153" s="48"/>
      <c r="Z153" s="48"/>
      <c r="AA153" s="48"/>
      <c r="AB153" s="48"/>
      <c r="AC153" s="48"/>
      <c r="AD153" s="48"/>
    </row>
    <row r="154" spans="1:30" ht="15.75" customHeight="1">
      <c r="A154" s="85"/>
      <c r="B154" s="48"/>
      <c r="C154" s="48"/>
      <c r="D154" s="48"/>
      <c r="E154" s="48"/>
      <c r="F154" s="48"/>
      <c r="G154" s="48"/>
      <c r="H154" s="48"/>
      <c r="I154" s="48"/>
      <c r="J154" s="48"/>
      <c r="K154" s="50"/>
      <c r="L154" s="48"/>
      <c r="M154" s="48"/>
      <c r="N154" s="50"/>
      <c r="O154" s="48"/>
      <c r="P154" s="48"/>
      <c r="Q154" s="48"/>
      <c r="R154" s="48"/>
      <c r="S154" s="48"/>
      <c r="T154" s="48"/>
      <c r="U154" s="48"/>
      <c r="V154" s="48"/>
      <c r="W154" s="48"/>
      <c r="X154" s="48"/>
      <c r="Y154" s="48"/>
      <c r="Z154" s="48"/>
      <c r="AA154" s="48"/>
      <c r="AB154" s="48"/>
      <c r="AC154" s="48"/>
      <c r="AD154" s="48"/>
    </row>
    <row r="155" spans="1:30" ht="15.75" customHeight="1">
      <c r="A155" s="85"/>
      <c r="B155" s="48"/>
      <c r="C155" s="48"/>
      <c r="D155" s="48"/>
      <c r="E155" s="48"/>
      <c r="F155" s="48"/>
      <c r="G155" s="48"/>
      <c r="H155" s="48"/>
      <c r="I155" s="48"/>
      <c r="J155" s="48"/>
      <c r="K155" s="50"/>
      <c r="L155" s="48"/>
      <c r="M155" s="48"/>
      <c r="N155" s="50"/>
      <c r="O155" s="48"/>
      <c r="P155" s="48"/>
      <c r="Q155" s="48"/>
      <c r="R155" s="48"/>
      <c r="S155" s="48"/>
      <c r="T155" s="48"/>
      <c r="U155" s="48"/>
      <c r="V155" s="48"/>
      <c r="W155" s="48"/>
      <c r="X155" s="48"/>
      <c r="Y155" s="48"/>
      <c r="Z155" s="48"/>
      <c r="AA155" s="48"/>
      <c r="AB155" s="48"/>
      <c r="AC155" s="48"/>
      <c r="AD155" s="48"/>
    </row>
    <row r="156" spans="1:30" ht="15.75" customHeight="1">
      <c r="A156" s="85"/>
      <c r="B156" s="48"/>
      <c r="C156" s="48"/>
      <c r="D156" s="48"/>
      <c r="E156" s="48"/>
      <c r="F156" s="48"/>
      <c r="G156" s="48"/>
      <c r="H156" s="48"/>
      <c r="I156" s="48"/>
      <c r="J156" s="48"/>
      <c r="K156" s="50"/>
      <c r="L156" s="48"/>
      <c r="M156" s="48"/>
      <c r="N156" s="50"/>
      <c r="O156" s="48"/>
      <c r="P156" s="48"/>
      <c r="Q156" s="48"/>
      <c r="R156" s="48"/>
      <c r="S156" s="48"/>
      <c r="T156" s="48"/>
      <c r="U156" s="48"/>
      <c r="V156" s="48"/>
      <c r="W156" s="48"/>
      <c r="X156" s="48"/>
      <c r="Y156" s="48"/>
      <c r="Z156" s="48"/>
      <c r="AA156" s="48"/>
      <c r="AB156" s="48"/>
      <c r="AC156" s="48"/>
      <c r="AD156" s="48"/>
    </row>
    <row r="157" spans="1:30" ht="15.75" customHeight="1">
      <c r="A157" s="85"/>
      <c r="B157" s="48"/>
      <c r="C157" s="48"/>
      <c r="D157" s="48"/>
      <c r="E157" s="48"/>
      <c r="F157" s="48"/>
      <c r="G157" s="48"/>
      <c r="H157" s="48"/>
      <c r="I157" s="48"/>
      <c r="J157" s="48"/>
      <c r="K157" s="50"/>
      <c r="L157" s="48"/>
      <c r="M157" s="48"/>
      <c r="N157" s="50"/>
      <c r="O157" s="48"/>
      <c r="P157" s="48"/>
      <c r="Q157" s="48"/>
      <c r="R157" s="48"/>
      <c r="S157" s="48"/>
      <c r="T157" s="48"/>
      <c r="U157" s="48"/>
      <c r="V157" s="48"/>
      <c r="W157" s="48"/>
      <c r="X157" s="48"/>
      <c r="Y157" s="48"/>
      <c r="Z157" s="48"/>
      <c r="AA157" s="48"/>
      <c r="AB157" s="48"/>
      <c r="AC157" s="48"/>
      <c r="AD157" s="48"/>
    </row>
    <row r="158" spans="1:30" ht="15.75" customHeight="1">
      <c r="A158" s="85"/>
      <c r="B158" s="48"/>
      <c r="C158" s="48"/>
      <c r="D158" s="48"/>
      <c r="E158" s="48"/>
      <c r="F158" s="48"/>
      <c r="G158" s="48"/>
      <c r="H158" s="48"/>
      <c r="I158" s="48"/>
      <c r="J158" s="48"/>
      <c r="K158" s="50"/>
      <c r="L158" s="48"/>
      <c r="M158" s="48"/>
      <c r="N158" s="50"/>
      <c r="O158" s="48"/>
      <c r="P158" s="48"/>
      <c r="Q158" s="48"/>
      <c r="R158" s="48"/>
      <c r="S158" s="48"/>
      <c r="T158" s="48"/>
      <c r="U158" s="48"/>
      <c r="V158" s="48"/>
      <c r="W158" s="48"/>
      <c r="X158" s="48"/>
      <c r="Y158" s="48"/>
      <c r="Z158" s="48"/>
      <c r="AA158" s="48"/>
      <c r="AB158" s="48"/>
      <c r="AC158" s="48"/>
      <c r="AD158" s="48"/>
    </row>
    <row r="159" spans="1:30" ht="15.75" customHeight="1">
      <c r="A159" s="85"/>
      <c r="B159" s="48"/>
      <c r="C159" s="48"/>
      <c r="D159" s="48"/>
      <c r="E159" s="48"/>
      <c r="F159" s="48"/>
      <c r="G159" s="48"/>
      <c r="H159" s="48"/>
      <c r="I159" s="48"/>
      <c r="J159" s="48"/>
      <c r="K159" s="50"/>
      <c r="L159" s="48"/>
      <c r="M159" s="48"/>
      <c r="N159" s="50"/>
      <c r="O159" s="48"/>
      <c r="P159" s="48"/>
      <c r="Q159" s="48"/>
      <c r="R159" s="48"/>
      <c r="S159" s="48"/>
      <c r="T159" s="48"/>
      <c r="U159" s="48"/>
      <c r="V159" s="48"/>
      <c r="W159" s="48"/>
      <c r="X159" s="48"/>
      <c r="Y159" s="48"/>
      <c r="Z159" s="48"/>
      <c r="AA159" s="48"/>
      <c r="AB159" s="48"/>
      <c r="AC159" s="48"/>
      <c r="AD159" s="48"/>
    </row>
    <row r="160" spans="1:30" ht="15.75" customHeight="1">
      <c r="A160" s="85"/>
      <c r="B160" s="48"/>
      <c r="C160" s="48"/>
      <c r="D160" s="48"/>
      <c r="E160" s="48"/>
      <c r="F160" s="48"/>
      <c r="G160" s="48"/>
      <c r="H160" s="48"/>
      <c r="I160" s="48"/>
      <c r="J160" s="48"/>
      <c r="K160" s="50"/>
      <c r="L160" s="48"/>
      <c r="M160" s="48"/>
      <c r="N160" s="50"/>
      <c r="O160" s="48"/>
      <c r="P160" s="48"/>
      <c r="Q160" s="48"/>
      <c r="R160" s="48"/>
      <c r="S160" s="48"/>
      <c r="T160" s="48"/>
      <c r="U160" s="48"/>
      <c r="V160" s="48"/>
      <c r="W160" s="48"/>
      <c r="X160" s="48"/>
      <c r="Y160" s="48"/>
      <c r="Z160" s="48"/>
      <c r="AA160" s="48"/>
      <c r="AB160" s="48"/>
      <c r="AC160" s="48"/>
      <c r="AD160" s="48"/>
    </row>
    <row r="161" spans="1:30" ht="15.75" customHeight="1">
      <c r="A161" s="85"/>
      <c r="B161" s="48"/>
      <c r="C161" s="48"/>
      <c r="D161" s="48"/>
      <c r="E161" s="48"/>
      <c r="F161" s="48"/>
      <c r="G161" s="48"/>
      <c r="H161" s="48"/>
      <c r="I161" s="48"/>
      <c r="J161" s="48"/>
      <c r="K161" s="50"/>
      <c r="L161" s="48"/>
      <c r="M161" s="48"/>
      <c r="N161" s="50"/>
      <c r="O161" s="48"/>
      <c r="P161" s="48"/>
      <c r="Q161" s="48"/>
      <c r="R161" s="48"/>
      <c r="S161" s="48"/>
      <c r="T161" s="48"/>
      <c r="U161" s="48"/>
      <c r="V161" s="48"/>
      <c r="W161" s="48"/>
      <c r="X161" s="48"/>
      <c r="Y161" s="48"/>
      <c r="Z161" s="48"/>
      <c r="AA161" s="48"/>
      <c r="AB161" s="48"/>
      <c r="AC161" s="48"/>
      <c r="AD161" s="48"/>
    </row>
    <row r="162" spans="1:30" ht="15.75" customHeight="1">
      <c r="A162" s="85"/>
      <c r="B162" s="48"/>
      <c r="C162" s="48"/>
      <c r="D162" s="48"/>
      <c r="E162" s="48"/>
      <c r="F162" s="48"/>
      <c r="G162" s="48"/>
      <c r="H162" s="48"/>
      <c r="I162" s="48"/>
      <c r="J162" s="48"/>
      <c r="K162" s="50"/>
      <c r="L162" s="48"/>
      <c r="M162" s="48"/>
      <c r="N162" s="50"/>
      <c r="O162" s="48"/>
      <c r="P162" s="48"/>
      <c r="Q162" s="48"/>
      <c r="R162" s="48"/>
      <c r="S162" s="48"/>
      <c r="T162" s="48"/>
      <c r="U162" s="48"/>
      <c r="V162" s="48"/>
      <c r="W162" s="48"/>
      <c r="X162" s="48"/>
      <c r="Y162" s="48"/>
      <c r="Z162" s="48"/>
      <c r="AA162" s="48"/>
      <c r="AB162" s="48"/>
      <c r="AC162" s="48"/>
      <c r="AD162" s="48"/>
    </row>
    <row r="163" spans="1:30" ht="15.75" customHeight="1">
      <c r="A163" s="85"/>
      <c r="B163" s="48"/>
      <c r="C163" s="48"/>
      <c r="D163" s="48"/>
      <c r="E163" s="48"/>
      <c r="F163" s="48"/>
      <c r="G163" s="48"/>
      <c r="H163" s="48"/>
      <c r="I163" s="48"/>
      <c r="J163" s="48"/>
      <c r="K163" s="50"/>
      <c r="L163" s="48"/>
      <c r="M163" s="48"/>
      <c r="N163" s="50"/>
      <c r="O163" s="48"/>
      <c r="P163" s="48"/>
      <c r="Q163" s="48"/>
      <c r="R163" s="48"/>
      <c r="S163" s="48"/>
      <c r="T163" s="48"/>
      <c r="U163" s="48"/>
      <c r="V163" s="48"/>
      <c r="W163" s="48"/>
      <c r="X163" s="48"/>
      <c r="Y163" s="48"/>
      <c r="Z163" s="48"/>
      <c r="AA163" s="48"/>
      <c r="AB163" s="48"/>
      <c r="AC163" s="48"/>
      <c r="AD163" s="48"/>
    </row>
    <row r="164" spans="1:30" ht="15.75" customHeight="1">
      <c r="A164" s="85"/>
      <c r="B164" s="48"/>
      <c r="C164" s="48"/>
      <c r="D164" s="48"/>
      <c r="E164" s="48"/>
      <c r="F164" s="48"/>
      <c r="G164" s="48"/>
      <c r="H164" s="48"/>
      <c r="I164" s="48"/>
      <c r="J164" s="48"/>
      <c r="K164" s="50"/>
      <c r="L164" s="48"/>
      <c r="M164" s="48"/>
      <c r="N164" s="50"/>
      <c r="O164" s="48"/>
      <c r="P164" s="48"/>
      <c r="Q164" s="48"/>
      <c r="R164" s="48"/>
      <c r="S164" s="48"/>
      <c r="T164" s="48"/>
      <c r="U164" s="48"/>
      <c r="V164" s="48"/>
      <c r="W164" s="48"/>
      <c r="X164" s="48"/>
      <c r="Y164" s="48"/>
      <c r="Z164" s="48"/>
      <c r="AA164" s="48"/>
      <c r="AB164" s="48"/>
      <c r="AC164" s="48"/>
      <c r="AD164" s="48"/>
    </row>
    <row r="165" spans="1:30" ht="15.75" customHeight="1">
      <c r="A165" s="85"/>
      <c r="B165" s="48"/>
      <c r="C165" s="48"/>
      <c r="D165" s="48"/>
      <c r="E165" s="48"/>
      <c r="F165" s="48"/>
      <c r="G165" s="48"/>
      <c r="H165" s="48"/>
      <c r="I165" s="48"/>
      <c r="J165" s="48"/>
      <c r="K165" s="50"/>
      <c r="L165" s="48"/>
      <c r="M165" s="48"/>
      <c r="N165" s="50"/>
      <c r="O165" s="48"/>
      <c r="P165" s="48"/>
      <c r="Q165" s="48"/>
      <c r="R165" s="48"/>
      <c r="S165" s="48"/>
      <c r="T165" s="48"/>
      <c r="U165" s="48"/>
      <c r="V165" s="48"/>
      <c r="W165" s="48"/>
      <c r="X165" s="48"/>
      <c r="Y165" s="48"/>
      <c r="Z165" s="48"/>
      <c r="AA165" s="48"/>
      <c r="AB165" s="48"/>
      <c r="AC165" s="48"/>
      <c r="AD165" s="48"/>
    </row>
    <row r="166" spans="1:30" ht="15.75" customHeight="1">
      <c r="A166" s="85"/>
      <c r="B166" s="48"/>
      <c r="C166" s="48"/>
      <c r="D166" s="48"/>
      <c r="E166" s="48"/>
      <c r="F166" s="48"/>
      <c r="G166" s="48"/>
      <c r="H166" s="48"/>
      <c r="I166" s="48"/>
      <c r="J166" s="48"/>
      <c r="K166" s="50"/>
      <c r="L166" s="48"/>
      <c r="M166" s="48"/>
      <c r="N166" s="50"/>
      <c r="O166" s="48"/>
      <c r="P166" s="48"/>
      <c r="Q166" s="48"/>
      <c r="R166" s="48"/>
      <c r="S166" s="48"/>
      <c r="T166" s="48"/>
      <c r="U166" s="48"/>
      <c r="V166" s="48"/>
      <c r="W166" s="48"/>
      <c r="X166" s="48"/>
      <c r="Y166" s="48"/>
      <c r="Z166" s="48"/>
      <c r="AA166" s="48"/>
      <c r="AB166" s="48"/>
      <c r="AC166" s="48"/>
      <c r="AD166" s="48"/>
    </row>
    <row r="167" spans="1:30" ht="15.75" customHeight="1">
      <c r="A167" s="85"/>
      <c r="B167" s="48"/>
      <c r="C167" s="48"/>
      <c r="D167" s="48"/>
      <c r="E167" s="48"/>
      <c r="F167" s="48"/>
      <c r="G167" s="48"/>
      <c r="H167" s="48"/>
      <c r="I167" s="48"/>
      <c r="J167" s="48"/>
      <c r="K167" s="50"/>
      <c r="L167" s="48"/>
      <c r="M167" s="48"/>
      <c r="N167" s="50"/>
      <c r="O167" s="48"/>
      <c r="P167" s="48"/>
      <c r="Q167" s="48"/>
      <c r="R167" s="48"/>
      <c r="S167" s="48"/>
      <c r="T167" s="48"/>
      <c r="U167" s="48"/>
      <c r="V167" s="48"/>
      <c r="W167" s="48"/>
      <c r="X167" s="48"/>
      <c r="Y167" s="48"/>
      <c r="Z167" s="48"/>
      <c r="AA167" s="48"/>
      <c r="AB167" s="48"/>
      <c r="AC167" s="48"/>
      <c r="AD167" s="48"/>
    </row>
    <row r="168" spans="1:30" ht="15.75" customHeight="1">
      <c r="A168" s="85"/>
      <c r="B168" s="48"/>
      <c r="C168" s="48"/>
      <c r="D168" s="48"/>
      <c r="E168" s="48"/>
      <c r="F168" s="48"/>
      <c r="G168" s="48"/>
      <c r="H168" s="48"/>
      <c r="I168" s="48"/>
      <c r="J168" s="48"/>
      <c r="K168" s="50"/>
      <c r="L168" s="48"/>
      <c r="M168" s="48"/>
      <c r="N168" s="50"/>
      <c r="O168" s="48"/>
      <c r="P168" s="48"/>
      <c r="Q168" s="48"/>
      <c r="R168" s="48"/>
      <c r="S168" s="48"/>
      <c r="T168" s="48"/>
      <c r="U168" s="48"/>
      <c r="V168" s="48"/>
      <c r="W168" s="48"/>
      <c r="X168" s="48"/>
      <c r="Y168" s="48"/>
      <c r="Z168" s="48"/>
      <c r="AA168" s="48"/>
      <c r="AB168" s="48"/>
      <c r="AC168" s="48"/>
      <c r="AD168" s="48"/>
    </row>
    <row r="169" spans="1:30" ht="15.75" customHeight="1">
      <c r="A169" s="85"/>
      <c r="B169" s="48"/>
      <c r="C169" s="48"/>
      <c r="D169" s="48"/>
      <c r="E169" s="48"/>
      <c r="F169" s="48"/>
      <c r="G169" s="48"/>
      <c r="H169" s="48"/>
      <c r="I169" s="48"/>
      <c r="J169" s="48"/>
      <c r="K169" s="50"/>
      <c r="L169" s="48"/>
      <c r="M169" s="48"/>
      <c r="N169" s="50"/>
      <c r="O169" s="48"/>
      <c r="P169" s="48"/>
      <c r="Q169" s="48"/>
      <c r="R169" s="48"/>
      <c r="S169" s="48"/>
      <c r="T169" s="48"/>
      <c r="U169" s="48"/>
      <c r="V169" s="48"/>
      <c r="W169" s="48"/>
      <c r="X169" s="48"/>
      <c r="Y169" s="48"/>
      <c r="Z169" s="48"/>
      <c r="AA169" s="48"/>
      <c r="AB169" s="48"/>
      <c r="AC169" s="48"/>
      <c r="AD169" s="48"/>
    </row>
    <row r="170" spans="1:30" ht="15.75" customHeight="1">
      <c r="A170" s="85"/>
      <c r="B170" s="48"/>
      <c r="C170" s="48"/>
      <c r="D170" s="48"/>
      <c r="E170" s="48"/>
      <c r="F170" s="48"/>
      <c r="G170" s="48"/>
      <c r="H170" s="48"/>
      <c r="I170" s="48"/>
      <c r="J170" s="48"/>
      <c r="K170" s="50"/>
      <c r="L170" s="48"/>
      <c r="M170" s="48"/>
      <c r="N170" s="50"/>
      <c r="O170" s="48"/>
      <c r="P170" s="48"/>
      <c r="Q170" s="48"/>
      <c r="R170" s="48"/>
      <c r="S170" s="48"/>
      <c r="T170" s="48"/>
      <c r="U170" s="48"/>
      <c r="V170" s="48"/>
      <c r="W170" s="48"/>
      <c r="X170" s="48"/>
      <c r="Y170" s="48"/>
      <c r="Z170" s="48"/>
      <c r="AA170" s="48"/>
      <c r="AB170" s="48"/>
      <c r="AC170" s="48"/>
      <c r="AD170" s="48"/>
    </row>
    <row r="171" spans="1:30" ht="15.75" customHeight="1">
      <c r="A171" s="85"/>
      <c r="B171" s="48"/>
      <c r="C171" s="48"/>
      <c r="D171" s="48"/>
      <c r="E171" s="48"/>
      <c r="F171" s="48"/>
      <c r="G171" s="48"/>
      <c r="H171" s="48"/>
      <c r="I171" s="48"/>
      <c r="J171" s="48"/>
      <c r="K171" s="50"/>
      <c r="L171" s="48"/>
      <c r="M171" s="48"/>
      <c r="N171" s="50"/>
      <c r="O171" s="48"/>
      <c r="P171" s="48"/>
      <c r="Q171" s="48"/>
      <c r="R171" s="48"/>
      <c r="S171" s="48"/>
      <c r="T171" s="48"/>
      <c r="U171" s="48"/>
      <c r="V171" s="48"/>
      <c r="W171" s="48"/>
      <c r="X171" s="48"/>
      <c r="Y171" s="48"/>
      <c r="Z171" s="48"/>
      <c r="AA171" s="48"/>
      <c r="AB171" s="48"/>
      <c r="AC171" s="48"/>
      <c r="AD171" s="48"/>
    </row>
    <row r="172" spans="1:30" ht="15.75" customHeight="1">
      <c r="A172" s="85"/>
      <c r="B172" s="48"/>
      <c r="C172" s="48"/>
      <c r="D172" s="48"/>
      <c r="E172" s="48"/>
      <c r="F172" s="48"/>
      <c r="G172" s="48"/>
      <c r="H172" s="48"/>
      <c r="I172" s="48"/>
      <c r="J172" s="48"/>
      <c r="K172" s="50"/>
      <c r="L172" s="48"/>
      <c r="M172" s="48"/>
      <c r="N172" s="50"/>
      <c r="O172" s="48"/>
      <c r="P172" s="48"/>
      <c r="Q172" s="48"/>
      <c r="R172" s="48"/>
      <c r="S172" s="48"/>
      <c r="T172" s="48"/>
      <c r="U172" s="48"/>
      <c r="V172" s="48"/>
      <c r="W172" s="48"/>
      <c r="X172" s="48"/>
      <c r="Y172" s="48"/>
      <c r="Z172" s="48"/>
      <c r="AA172" s="48"/>
      <c r="AB172" s="48"/>
      <c r="AC172" s="48"/>
      <c r="AD172" s="48"/>
    </row>
    <row r="173" spans="1:30" ht="15.75" customHeight="1">
      <c r="A173" s="85"/>
      <c r="B173" s="48"/>
      <c r="C173" s="48"/>
      <c r="D173" s="48"/>
      <c r="E173" s="48"/>
      <c r="F173" s="48"/>
      <c r="G173" s="48"/>
      <c r="H173" s="48"/>
      <c r="I173" s="48"/>
      <c r="J173" s="48"/>
      <c r="K173" s="50"/>
      <c r="L173" s="48"/>
      <c r="M173" s="48"/>
      <c r="N173" s="50"/>
      <c r="O173" s="48"/>
      <c r="P173" s="48"/>
      <c r="Q173" s="48"/>
      <c r="R173" s="48"/>
      <c r="S173" s="48"/>
      <c r="T173" s="48"/>
      <c r="U173" s="48"/>
      <c r="V173" s="48"/>
      <c r="W173" s="48"/>
      <c r="X173" s="48"/>
      <c r="Y173" s="48"/>
      <c r="Z173" s="48"/>
      <c r="AA173" s="48"/>
      <c r="AB173" s="48"/>
      <c r="AC173" s="48"/>
      <c r="AD173" s="48"/>
    </row>
    <row r="174" spans="1:30" ht="15.75" customHeight="1">
      <c r="A174" s="85"/>
      <c r="B174" s="48"/>
      <c r="C174" s="48"/>
      <c r="D174" s="48"/>
      <c r="E174" s="48"/>
      <c r="F174" s="48"/>
      <c r="G174" s="48"/>
      <c r="H174" s="48"/>
      <c r="I174" s="48"/>
      <c r="J174" s="48"/>
      <c r="K174" s="50"/>
      <c r="L174" s="48"/>
      <c r="M174" s="48"/>
      <c r="N174" s="50"/>
      <c r="O174" s="48"/>
      <c r="P174" s="48"/>
      <c r="Q174" s="48"/>
      <c r="R174" s="48"/>
      <c r="S174" s="48"/>
      <c r="T174" s="48"/>
      <c r="U174" s="48"/>
      <c r="V174" s="48"/>
      <c r="W174" s="48"/>
      <c r="X174" s="48"/>
      <c r="Y174" s="48"/>
      <c r="Z174" s="48"/>
      <c r="AA174" s="48"/>
      <c r="AB174" s="48"/>
      <c r="AC174" s="48"/>
      <c r="AD174" s="48"/>
    </row>
    <row r="175" spans="1:30" ht="15.75" customHeight="1">
      <c r="A175" s="85"/>
      <c r="B175" s="48"/>
      <c r="C175" s="48"/>
      <c r="D175" s="48"/>
      <c r="E175" s="48"/>
      <c r="F175" s="48"/>
      <c r="G175" s="48"/>
      <c r="H175" s="48"/>
      <c r="I175" s="48"/>
      <c r="J175" s="48"/>
      <c r="K175" s="50"/>
      <c r="L175" s="48"/>
      <c r="M175" s="48"/>
      <c r="N175" s="50"/>
      <c r="O175" s="48"/>
      <c r="P175" s="48"/>
      <c r="Q175" s="48"/>
      <c r="R175" s="48"/>
      <c r="S175" s="48"/>
      <c r="T175" s="48"/>
      <c r="U175" s="48"/>
      <c r="V175" s="48"/>
      <c r="W175" s="48"/>
      <c r="X175" s="48"/>
      <c r="Y175" s="48"/>
      <c r="Z175" s="48"/>
      <c r="AA175" s="48"/>
      <c r="AB175" s="48"/>
      <c r="AC175" s="48"/>
      <c r="AD175" s="48"/>
    </row>
    <row r="176" spans="1:30" ht="15.75" customHeight="1">
      <c r="A176" s="85"/>
      <c r="B176" s="48"/>
      <c r="C176" s="48"/>
      <c r="D176" s="48"/>
      <c r="E176" s="48"/>
      <c r="F176" s="48"/>
      <c r="G176" s="48"/>
      <c r="H176" s="48"/>
      <c r="I176" s="48"/>
      <c r="J176" s="48"/>
      <c r="K176" s="50"/>
      <c r="L176" s="48"/>
      <c r="M176" s="48"/>
      <c r="N176" s="50"/>
      <c r="O176" s="48"/>
      <c r="P176" s="48"/>
      <c r="Q176" s="48"/>
      <c r="R176" s="48"/>
      <c r="S176" s="48"/>
      <c r="T176" s="48"/>
      <c r="U176" s="48"/>
      <c r="V176" s="48"/>
      <c r="W176" s="48"/>
      <c r="X176" s="48"/>
      <c r="Y176" s="48"/>
      <c r="Z176" s="48"/>
      <c r="AA176" s="48"/>
      <c r="AB176" s="48"/>
      <c r="AC176" s="48"/>
      <c r="AD176" s="48"/>
    </row>
    <row r="177" spans="1:30" ht="15.75" customHeight="1">
      <c r="A177" s="85"/>
      <c r="B177" s="48"/>
      <c r="C177" s="48"/>
      <c r="D177" s="48"/>
      <c r="E177" s="48"/>
      <c r="F177" s="48"/>
      <c r="G177" s="48"/>
      <c r="H177" s="48"/>
      <c r="I177" s="48"/>
      <c r="J177" s="48"/>
      <c r="K177" s="50"/>
      <c r="L177" s="48"/>
      <c r="M177" s="48"/>
      <c r="N177" s="50"/>
      <c r="O177" s="48"/>
      <c r="P177" s="48"/>
      <c r="Q177" s="48"/>
      <c r="R177" s="48"/>
      <c r="S177" s="48"/>
      <c r="T177" s="48"/>
      <c r="U177" s="48"/>
      <c r="V177" s="48"/>
      <c r="W177" s="48"/>
      <c r="X177" s="48"/>
      <c r="Y177" s="48"/>
      <c r="Z177" s="48"/>
      <c r="AA177" s="48"/>
      <c r="AB177" s="48"/>
      <c r="AC177" s="48"/>
      <c r="AD177" s="48"/>
    </row>
    <row r="178" spans="1:30" ht="15.75" customHeight="1">
      <c r="A178" s="85"/>
      <c r="B178" s="48"/>
      <c r="C178" s="48"/>
      <c r="D178" s="48"/>
      <c r="E178" s="48"/>
      <c r="F178" s="48"/>
      <c r="G178" s="48"/>
      <c r="H178" s="48"/>
      <c r="I178" s="48"/>
      <c r="J178" s="48"/>
      <c r="K178" s="50"/>
      <c r="L178" s="48"/>
      <c r="M178" s="48"/>
      <c r="N178" s="50"/>
      <c r="O178" s="48"/>
      <c r="P178" s="48"/>
      <c r="Q178" s="48"/>
      <c r="R178" s="48"/>
      <c r="S178" s="48"/>
      <c r="T178" s="48"/>
      <c r="U178" s="48"/>
      <c r="V178" s="48"/>
      <c r="W178" s="48"/>
      <c r="X178" s="48"/>
      <c r="Y178" s="48"/>
      <c r="Z178" s="48"/>
      <c r="AA178" s="48"/>
      <c r="AB178" s="48"/>
      <c r="AC178" s="48"/>
      <c r="AD178" s="48"/>
    </row>
    <row r="179" spans="1:30" ht="15.75" customHeight="1">
      <c r="A179" s="85"/>
      <c r="B179" s="48"/>
      <c r="C179" s="48"/>
      <c r="D179" s="48"/>
      <c r="E179" s="48"/>
      <c r="F179" s="48"/>
      <c r="G179" s="48"/>
      <c r="H179" s="48"/>
      <c r="I179" s="48"/>
      <c r="J179" s="48"/>
      <c r="K179" s="50"/>
      <c r="L179" s="48"/>
      <c r="M179" s="48"/>
      <c r="N179" s="50"/>
      <c r="O179" s="48"/>
      <c r="P179" s="48"/>
      <c r="Q179" s="48"/>
      <c r="R179" s="48"/>
      <c r="S179" s="48"/>
      <c r="T179" s="48"/>
      <c r="U179" s="48"/>
      <c r="V179" s="48"/>
      <c r="W179" s="48"/>
      <c r="X179" s="48"/>
      <c r="Y179" s="48"/>
      <c r="Z179" s="48"/>
      <c r="AA179" s="48"/>
      <c r="AB179" s="48"/>
      <c r="AC179" s="48"/>
      <c r="AD179" s="48"/>
    </row>
    <row r="180" spans="1:30" ht="15.75" customHeight="1">
      <c r="A180" s="85"/>
      <c r="B180" s="48"/>
      <c r="C180" s="48"/>
      <c r="D180" s="48"/>
      <c r="E180" s="48"/>
      <c r="F180" s="48"/>
      <c r="G180" s="48"/>
      <c r="H180" s="48"/>
      <c r="I180" s="48"/>
      <c r="J180" s="48"/>
      <c r="K180" s="50"/>
      <c r="L180" s="48"/>
      <c r="M180" s="48"/>
      <c r="N180" s="50"/>
      <c r="O180" s="48"/>
      <c r="P180" s="48"/>
      <c r="Q180" s="48"/>
      <c r="R180" s="48"/>
      <c r="S180" s="48"/>
      <c r="T180" s="48"/>
      <c r="U180" s="48"/>
      <c r="V180" s="48"/>
      <c r="W180" s="48"/>
      <c r="X180" s="48"/>
      <c r="Y180" s="48"/>
      <c r="Z180" s="48"/>
      <c r="AA180" s="48"/>
      <c r="AB180" s="48"/>
      <c r="AC180" s="48"/>
      <c r="AD180" s="48"/>
    </row>
    <row r="181" spans="1:30" ht="15.75" customHeight="1">
      <c r="A181" s="85"/>
      <c r="B181" s="48"/>
      <c r="C181" s="48"/>
      <c r="D181" s="48"/>
      <c r="E181" s="48"/>
      <c r="F181" s="48"/>
      <c r="G181" s="48"/>
      <c r="H181" s="48"/>
      <c r="I181" s="48"/>
      <c r="J181" s="48"/>
      <c r="K181" s="50"/>
      <c r="L181" s="48"/>
      <c r="M181" s="48"/>
      <c r="N181" s="50"/>
      <c r="O181" s="48"/>
      <c r="P181" s="48"/>
      <c r="Q181" s="48"/>
      <c r="R181" s="48"/>
      <c r="S181" s="48"/>
      <c r="T181" s="48"/>
      <c r="U181" s="48"/>
      <c r="V181" s="48"/>
      <c r="W181" s="48"/>
      <c r="X181" s="48"/>
      <c r="Y181" s="48"/>
      <c r="Z181" s="48"/>
      <c r="AA181" s="48"/>
      <c r="AB181" s="48"/>
      <c r="AC181" s="48"/>
      <c r="AD181" s="48"/>
    </row>
    <row r="182" spans="1:30" ht="15.75" customHeight="1">
      <c r="A182" s="85"/>
      <c r="B182" s="48"/>
      <c r="C182" s="48"/>
      <c r="D182" s="48"/>
      <c r="E182" s="48"/>
      <c r="F182" s="48"/>
      <c r="G182" s="48"/>
      <c r="H182" s="48"/>
      <c r="I182" s="48"/>
      <c r="J182" s="48"/>
      <c r="K182" s="50"/>
      <c r="L182" s="48"/>
      <c r="M182" s="48"/>
      <c r="N182" s="50"/>
      <c r="O182" s="48"/>
      <c r="P182" s="48"/>
      <c r="Q182" s="48"/>
      <c r="R182" s="48"/>
      <c r="S182" s="48"/>
      <c r="T182" s="48"/>
      <c r="U182" s="48"/>
      <c r="V182" s="48"/>
      <c r="W182" s="48"/>
      <c r="X182" s="48"/>
      <c r="Y182" s="48"/>
      <c r="Z182" s="48"/>
      <c r="AA182" s="48"/>
      <c r="AB182" s="48"/>
      <c r="AC182" s="48"/>
      <c r="AD182" s="48"/>
    </row>
    <row r="183" spans="1:30" ht="15.75" customHeight="1">
      <c r="A183" s="85"/>
      <c r="B183" s="48"/>
      <c r="C183" s="48"/>
      <c r="D183" s="48"/>
      <c r="E183" s="48"/>
      <c r="F183" s="48"/>
      <c r="G183" s="48"/>
      <c r="H183" s="48"/>
      <c r="I183" s="48"/>
      <c r="J183" s="48"/>
      <c r="K183" s="50"/>
      <c r="L183" s="48"/>
      <c r="M183" s="48"/>
      <c r="N183" s="50"/>
      <c r="O183" s="48"/>
      <c r="P183" s="48"/>
      <c r="Q183" s="48"/>
      <c r="R183" s="48"/>
      <c r="S183" s="48"/>
      <c r="T183" s="48"/>
      <c r="U183" s="48"/>
      <c r="V183" s="48"/>
      <c r="W183" s="48"/>
      <c r="X183" s="48"/>
      <c r="Y183" s="48"/>
      <c r="Z183" s="48"/>
      <c r="AA183" s="48"/>
      <c r="AB183" s="48"/>
      <c r="AC183" s="48"/>
      <c r="AD183" s="48"/>
    </row>
    <row r="184" spans="1:30" ht="15.75" customHeight="1">
      <c r="A184" s="85"/>
      <c r="B184" s="48"/>
      <c r="C184" s="48"/>
      <c r="D184" s="48"/>
      <c r="E184" s="48"/>
      <c r="F184" s="48"/>
      <c r="G184" s="48"/>
      <c r="H184" s="48"/>
      <c r="I184" s="48"/>
      <c r="J184" s="48"/>
      <c r="K184" s="50"/>
      <c r="L184" s="48"/>
      <c r="M184" s="48"/>
      <c r="N184" s="50"/>
      <c r="O184" s="48"/>
      <c r="P184" s="48"/>
      <c r="Q184" s="48"/>
      <c r="R184" s="48"/>
      <c r="S184" s="48"/>
      <c r="T184" s="48"/>
      <c r="U184" s="48"/>
      <c r="V184" s="48"/>
      <c r="W184" s="48"/>
      <c r="X184" s="48"/>
      <c r="Y184" s="48"/>
      <c r="Z184" s="48"/>
      <c r="AA184" s="48"/>
      <c r="AB184" s="48"/>
      <c r="AC184" s="48"/>
      <c r="AD184" s="48"/>
    </row>
    <row r="185" spans="1:30" ht="15.75" customHeight="1">
      <c r="A185" s="85"/>
      <c r="B185" s="48"/>
      <c r="C185" s="48"/>
      <c r="D185" s="48"/>
      <c r="E185" s="48"/>
      <c r="F185" s="48"/>
      <c r="G185" s="48"/>
      <c r="H185" s="48"/>
      <c r="I185" s="48"/>
      <c r="J185" s="48"/>
      <c r="K185" s="50"/>
      <c r="L185" s="48"/>
      <c r="M185" s="48"/>
      <c r="N185" s="50"/>
      <c r="O185" s="48"/>
      <c r="P185" s="48"/>
      <c r="Q185" s="48"/>
      <c r="R185" s="48"/>
      <c r="S185" s="48"/>
      <c r="T185" s="48"/>
      <c r="U185" s="48"/>
      <c r="V185" s="48"/>
      <c r="W185" s="48"/>
      <c r="X185" s="48"/>
      <c r="Y185" s="48"/>
      <c r="Z185" s="48"/>
      <c r="AA185" s="48"/>
      <c r="AB185" s="48"/>
      <c r="AC185" s="48"/>
      <c r="AD185" s="48"/>
    </row>
    <row r="186" spans="1:30" ht="15.75" customHeight="1">
      <c r="A186" s="85"/>
      <c r="B186" s="48"/>
      <c r="C186" s="48"/>
      <c r="D186" s="48"/>
      <c r="E186" s="48"/>
      <c r="F186" s="48"/>
      <c r="G186" s="48"/>
      <c r="H186" s="48"/>
      <c r="I186" s="48"/>
      <c r="J186" s="48"/>
      <c r="K186" s="50"/>
      <c r="L186" s="48"/>
      <c r="M186" s="48"/>
      <c r="N186" s="50"/>
      <c r="O186" s="48"/>
      <c r="P186" s="48"/>
      <c r="Q186" s="48"/>
      <c r="R186" s="48"/>
      <c r="S186" s="48"/>
      <c r="T186" s="48"/>
      <c r="U186" s="48"/>
      <c r="V186" s="48"/>
      <c r="W186" s="48"/>
      <c r="X186" s="48"/>
      <c r="Y186" s="48"/>
      <c r="Z186" s="48"/>
      <c r="AA186" s="48"/>
      <c r="AB186" s="48"/>
      <c r="AC186" s="48"/>
      <c r="AD186" s="48"/>
    </row>
    <row r="187" spans="1:30" ht="15.75" customHeight="1">
      <c r="A187" s="85"/>
      <c r="B187" s="48"/>
      <c r="C187" s="48"/>
      <c r="D187" s="48"/>
      <c r="E187" s="48"/>
      <c r="F187" s="48"/>
      <c r="G187" s="48"/>
      <c r="H187" s="48"/>
      <c r="I187" s="48"/>
      <c r="J187" s="48"/>
      <c r="K187" s="50"/>
      <c r="L187" s="48"/>
      <c r="M187" s="48"/>
      <c r="N187" s="50"/>
      <c r="O187" s="48"/>
      <c r="P187" s="48"/>
      <c r="Q187" s="48"/>
      <c r="R187" s="48"/>
      <c r="S187" s="48"/>
      <c r="T187" s="48"/>
      <c r="U187" s="48"/>
      <c r="V187" s="48"/>
      <c r="W187" s="48"/>
      <c r="X187" s="48"/>
      <c r="Y187" s="48"/>
      <c r="Z187" s="48"/>
      <c r="AA187" s="48"/>
      <c r="AB187" s="48"/>
      <c r="AC187" s="48"/>
      <c r="AD187" s="48"/>
    </row>
    <row r="188" spans="1:30" ht="15.75" customHeight="1">
      <c r="A188" s="85"/>
      <c r="B188" s="48"/>
      <c r="C188" s="48"/>
      <c r="D188" s="48"/>
      <c r="E188" s="48"/>
      <c r="F188" s="48"/>
      <c r="G188" s="48"/>
      <c r="H188" s="48"/>
      <c r="I188" s="48"/>
      <c r="J188" s="48"/>
      <c r="K188" s="50"/>
      <c r="L188" s="48"/>
      <c r="M188" s="48"/>
      <c r="N188" s="50"/>
      <c r="O188" s="48"/>
      <c r="P188" s="48"/>
      <c r="Q188" s="48"/>
      <c r="R188" s="48"/>
      <c r="S188" s="48"/>
      <c r="T188" s="48"/>
      <c r="U188" s="48"/>
      <c r="V188" s="48"/>
      <c r="W188" s="48"/>
      <c r="X188" s="48"/>
      <c r="Y188" s="48"/>
      <c r="Z188" s="48"/>
      <c r="AA188" s="48"/>
      <c r="AB188" s="48"/>
      <c r="AC188" s="48"/>
      <c r="AD188" s="48"/>
    </row>
    <row r="189" spans="1:30" ht="15.75" customHeight="1">
      <c r="A189" s="85"/>
      <c r="B189" s="48"/>
      <c r="C189" s="48"/>
      <c r="D189" s="48"/>
      <c r="E189" s="48"/>
      <c r="F189" s="48"/>
      <c r="G189" s="48"/>
      <c r="H189" s="48"/>
      <c r="I189" s="48"/>
      <c r="J189" s="48"/>
      <c r="K189" s="50"/>
      <c r="L189" s="48"/>
      <c r="M189" s="48"/>
      <c r="N189" s="50"/>
      <c r="O189" s="48"/>
      <c r="P189" s="48"/>
      <c r="Q189" s="48"/>
      <c r="R189" s="48"/>
      <c r="S189" s="48"/>
      <c r="T189" s="48"/>
      <c r="U189" s="48"/>
      <c r="V189" s="48"/>
      <c r="W189" s="48"/>
      <c r="X189" s="48"/>
      <c r="Y189" s="48"/>
      <c r="Z189" s="48"/>
      <c r="AA189" s="48"/>
      <c r="AB189" s="48"/>
      <c r="AC189" s="48"/>
      <c r="AD189" s="48"/>
    </row>
    <row r="190" spans="1:30" ht="15.75" customHeight="1">
      <c r="A190" s="85"/>
      <c r="B190" s="48"/>
      <c r="C190" s="48"/>
      <c r="D190" s="48"/>
      <c r="E190" s="48"/>
      <c r="F190" s="48"/>
      <c r="G190" s="48"/>
      <c r="H190" s="48"/>
      <c r="I190" s="48"/>
      <c r="J190" s="48"/>
      <c r="K190" s="50"/>
      <c r="L190" s="48"/>
      <c r="M190" s="48"/>
      <c r="N190" s="50"/>
      <c r="O190" s="48"/>
      <c r="P190" s="48"/>
      <c r="Q190" s="48"/>
      <c r="R190" s="48"/>
      <c r="S190" s="48"/>
      <c r="T190" s="48"/>
      <c r="U190" s="48"/>
      <c r="V190" s="48"/>
      <c r="W190" s="48"/>
      <c r="X190" s="48"/>
      <c r="Y190" s="48"/>
      <c r="Z190" s="48"/>
      <c r="AA190" s="48"/>
      <c r="AB190" s="48"/>
      <c r="AC190" s="48"/>
      <c r="AD190" s="48"/>
    </row>
    <row r="191" spans="1:30" ht="15.75" customHeight="1">
      <c r="A191" s="85"/>
      <c r="B191" s="48"/>
      <c r="C191" s="48"/>
      <c r="D191" s="48"/>
      <c r="E191" s="48"/>
      <c r="F191" s="48"/>
      <c r="G191" s="48"/>
      <c r="H191" s="48"/>
      <c r="I191" s="48"/>
      <c r="J191" s="48"/>
      <c r="K191" s="50"/>
      <c r="L191" s="48"/>
      <c r="M191" s="48"/>
      <c r="N191" s="50"/>
      <c r="O191" s="48"/>
      <c r="P191" s="48"/>
      <c r="Q191" s="48"/>
      <c r="R191" s="48"/>
      <c r="S191" s="48"/>
      <c r="T191" s="48"/>
      <c r="U191" s="48"/>
      <c r="V191" s="48"/>
      <c r="W191" s="48"/>
      <c r="X191" s="48"/>
      <c r="Y191" s="48"/>
      <c r="Z191" s="48"/>
      <c r="AA191" s="48"/>
      <c r="AB191" s="48"/>
      <c r="AC191" s="48"/>
      <c r="AD191" s="48"/>
    </row>
    <row r="192" spans="1:30" ht="15.75" customHeight="1">
      <c r="A192" s="85"/>
      <c r="B192" s="48"/>
      <c r="C192" s="48"/>
      <c r="D192" s="48"/>
      <c r="E192" s="48"/>
      <c r="F192" s="48"/>
      <c r="G192" s="48"/>
      <c r="H192" s="48"/>
      <c r="I192" s="48"/>
      <c r="J192" s="48"/>
      <c r="K192" s="50"/>
      <c r="L192" s="48"/>
      <c r="M192" s="48"/>
      <c r="N192" s="50"/>
      <c r="O192" s="48"/>
      <c r="P192" s="48"/>
      <c r="Q192" s="48"/>
      <c r="R192" s="48"/>
      <c r="S192" s="48"/>
      <c r="T192" s="48"/>
      <c r="U192" s="48"/>
      <c r="V192" s="48"/>
      <c r="W192" s="48"/>
      <c r="X192" s="48"/>
      <c r="Y192" s="48"/>
      <c r="Z192" s="48"/>
      <c r="AA192" s="48"/>
      <c r="AB192" s="48"/>
      <c r="AC192" s="48"/>
      <c r="AD192" s="48"/>
    </row>
    <row r="193" spans="1:30" ht="15.75" customHeight="1">
      <c r="A193" s="85"/>
      <c r="B193" s="48"/>
      <c r="C193" s="48"/>
      <c r="D193" s="48"/>
      <c r="E193" s="48"/>
      <c r="F193" s="48"/>
      <c r="G193" s="48"/>
      <c r="H193" s="48"/>
      <c r="I193" s="48"/>
      <c r="J193" s="48"/>
      <c r="K193" s="50"/>
      <c r="L193" s="48"/>
      <c r="M193" s="48"/>
      <c r="N193" s="50"/>
      <c r="O193" s="48"/>
      <c r="P193" s="48"/>
      <c r="Q193" s="48"/>
      <c r="R193" s="48"/>
      <c r="S193" s="48"/>
      <c r="T193" s="48"/>
      <c r="U193" s="48"/>
      <c r="V193" s="48"/>
      <c r="W193" s="48"/>
      <c r="X193" s="48"/>
      <c r="Y193" s="48"/>
      <c r="Z193" s="48"/>
      <c r="AA193" s="48"/>
      <c r="AB193" s="48"/>
      <c r="AC193" s="48"/>
      <c r="AD193" s="48"/>
    </row>
    <row r="194" spans="1:30" ht="15.75" customHeight="1">
      <c r="A194" s="85"/>
      <c r="B194" s="48"/>
      <c r="C194" s="48"/>
      <c r="D194" s="48"/>
      <c r="E194" s="48"/>
      <c r="F194" s="48"/>
      <c r="G194" s="48"/>
      <c r="H194" s="48"/>
      <c r="I194" s="48"/>
      <c r="J194" s="48"/>
      <c r="K194" s="50"/>
      <c r="L194" s="48"/>
      <c r="M194" s="48"/>
      <c r="N194" s="50"/>
      <c r="O194" s="48"/>
      <c r="P194" s="48"/>
      <c r="Q194" s="48"/>
      <c r="R194" s="48"/>
      <c r="S194" s="48"/>
      <c r="T194" s="48"/>
      <c r="U194" s="48"/>
      <c r="V194" s="48"/>
      <c r="W194" s="48"/>
      <c r="X194" s="48"/>
      <c r="Y194" s="48"/>
      <c r="Z194" s="48"/>
      <c r="AA194" s="48"/>
      <c r="AB194" s="48"/>
      <c r="AC194" s="48"/>
      <c r="AD194" s="48"/>
    </row>
    <row r="195" spans="1:30" ht="15.75" customHeight="1">
      <c r="A195" s="85"/>
      <c r="B195" s="48"/>
      <c r="C195" s="48"/>
      <c r="D195" s="48"/>
      <c r="E195" s="48"/>
      <c r="F195" s="48"/>
      <c r="G195" s="48"/>
      <c r="H195" s="48"/>
      <c r="I195" s="48"/>
      <c r="J195" s="48"/>
      <c r="K195" s="50"/>
      <c r="L195" s="48"/>
      <c r="M195" s="48"/>
      <c r="N195" s="50"/>
      <c r="O195" s="48"/>
      <c r="P195" s="48"/>
      <c r="Q195" s="48"/>
      <c r="R195" s="48"/>
      <c r="S195" s="48"/>
      <c r="T195" s="48"/>
      <c r="U195" s="48"/>
      <c r="V195" s="48"/>
      <c r="W195" s="48"/>
      <c r="X195" s="48"/>
      <c r="Y195" s="48"/>
      <c r="Z195" s="48"/>
      <c r="AA195" s="48"/>
      <c r="AB195" s="48"/>
      <c r="AC195" s="48"/>
      <c r="AD195" s="48"/>
    </row>
    <row r="196" spans="1:30" ht="15.75" customHeight="1">
      <c r="A196" s="85"/>
      <c r="B196" s="48"/>
      <c r="C196" s="48"/>
      <c r="D196" s="48"/>
      <c r="E196" s="48"/>
      <c r="F196" s="48"/>
      <c r="G196" s="48"/>
      <c r="H196" s="48"/>
      <c r="I196" s="48"/>
      <c r="J196" s="48"/>
      <c r="K196" s="50"/>
      <c r="L196" s="48"/>
      <c r="M196" s="48"/>
      <c r="N196" s="50"/>
      <c r="O196" s="48"/>
      <c r="P196" s="48"/>
      <c r="Q196" s="48"/>
      <c r="R196" s="48"/>
      <c r="S196" s="48"/>
      <c r="T196" s="48"/>
      <c r="U196" s="48"/>
      <c r="V196" s="48"/>
      <c r="W196" s="48"/>
      <c r="X196" s="48"/>
      <c r="Y196" s="48"/>
      <c r="Z196" s="48"/>
      <c r="AA196" s="48"/>
      <c r="AB196" s="48"/>
      <c r="AC196" s="48"/>
      <c r="AD196" s="48"/>
    </row>
    <row r="197" spans="1:30" ht="15.75" customHeight="1">
      <c r="A197" s="85"/>
      <c r="B197" s="48"/>
      <c r="C197" s="48"/>
      <c r="D197" s="48"/>
      <c r="E197" s="48"/>
      <c r="F197" s="48"/>
      <c r="G197" s="48"/>
      <c r="H197" s="48"/>
      <c r="I197" s="48"/>
      <c r="J197" s="48"/>
      <c r="K197" s="50"/>
      <c r="L197" s="48"/>
      <c r="M197" s="48"/>
      <c r="N197" s="50"/>
      <c r="O197" s="48"/>
      <c r="P197" s="48"/>
      <c r="Q197" s="48"/>
      <c r="R197" s="48"/>
      <c r="S197" s="48"/>
      <c r="T197" s="48"/>
      <c r="U197" s="48"/>
      <c r="V197" s="48"/>
      <c r="W197" s="48"/>
      <c r="X197" s="48"/>
      <c r="Y197" s="48"/>
      <c r="Z197" s="48"/>
      <c r="AA197" s="48"/>
      <c r="AB197" s="48"/>
      <c r="AC197" s="48"/>
      <c r="AD197" s="48"/>
    </row>
    <row r="198" spans="1:30" ht="15.75" customHeight="1">
      <c r="A198" s="85"/>
      <c r="B198" s="48"/>
      <c r="C198" s="48"/>
      <c r="D198" s="48"/>
      <c r="E198" s="48"/>
      <c r="F198" s="48"/>
      <c r="G198" s="48"/>
      <c r="H198" s="48"/>
      <c r="I198" s="48"/>
      <c r="J198" s="48"/>
      <c r="K198" s="50"/>
      <c r="L198" s="48"/>
      <c r="M198" s="48"/>
      <c r="N198" s="50"/>
      <c r="O198" s="48"/>
      <c r="P198" s="48"/>
      <c r="Q198" s="48"/>
      <c r="R198" s="48"/>
      <c r="S198" s="48"/>
      <c r="T198" s="48"/>
      <c r="U198" s="48"/>
      <c r="V198" s="48"/>
      <c r="W198" s="48"/>
      <c r="X198" s="48"/>
      <c r="Y198" s="48"/>
      <c r="Z198" s="48"/>
      <c r="AA198" s="48"/>
      <c r="AB198" s="48"/>
      <c r="AC198" s="48"/>
      <c r="AD198" s="48"/>
    </row>
    <row r="199" spans="1:30" ht="15.75" customHeight="1">
      <c r="A199" s="85"/>
      <c r="B199" s="48"/>
      <c r="C199" s="48"/>
      <c r="D199" s="48"/>
      <c r="E199" s="48"/>
      <c r="F199" s="48"/>
      <c r="G199" s="48"/>
      <c r="H199" s="48"/>
      <c r="I199" s="48"/>
      <c r="J199" s="48"/>
      <c r="K199" s="50"/>
      <c r="L199" s="48"/>
      <c r="M199" s="48"/>
      <c r="N199" s="50"/>
      <c r="O199" s="48"/>
      <c r="P199" s="48"/>
      <c r="Q199" s="48"/>
      <c r="R199" s="48"/>
      <c r="S199" s="48"/>
      <c r="T199" s="48"/>
      <c r="U199" s="48"/>
      <c r="V199" s="48"/>
      <c r="W199" s="48"/>
      <c r="X199" s="48"/>
      <c r="Y199" s="48"/>
      <c r="Z199" s="48"/>
      <c r="AA199" s="48"/>
      <c r="AB199" s="48"/>
      <c r="AC199" s="48"/>
      <c r="AD199" s="48"/>
    </row>
    <row r="200" spans="1:30" ht="15.75" customHeight="1">
      <c r="A200" s="85"/>
      <c r="B200" s="48"/>
      <c r="C200" s="48"/>
      <c r="D200" s="48"/>
      <c r="E200" s="48"/>
      <c r="F200" s="48"/>
      <c r="G200" s="48"/>
      <c r="H200" s="48"/>
      <c r="I200" s="48"/>
      <c r="J200" s="48"/>
      <c r="K200" s="50"/>
      <c r="L200" s="48"/>
      <c r="M200" s="48"/>
      <c r="N200" s="50"/>
      <c r="O200" s="48"/>
      <c r="P200" s="48"/>
      <c r="Q200" s="48"/>
      <c r="R200" s="48"/>
      <c r="S200" s="48"/>
      <c r="T200" s="48"/>
      <c r="U200" s="48"/>
      <c r="V200" s="48"/>
      <c r="W200" s="48"/>
      <c r="X200" s="48"/>
      <c r="Y200" s="48"/>
      <c r="Z200" s="48"/>
      <c r="AA200" s="48"/>
      <c r="AB200" s="48"/>
      <c r="AC200" s="48"/>
      <c r="AD200" s="48"/>
    </row>
    <row r="201" spans="1:30" ht="15.75" customHeight="1">
      <c r="A201" s="85"/>
      <c r="B201" s="48"/>
      <c r="C201" s="48"/>
      <c r="D201" s="48"/>
      <c r="E201" s="48"/>
      <c r="F201" s="48"/>
      <c r="G201" s="48"/>
      <c r="H201" s="48"/>
      <c r="I201" s="48"/>
      <c r="J201" s="48"/>
      <c r="K201" s="50"/>
      <c r="L201" s="48"/>
      <c r="M201" s="48"/>
      <c r="N201" s="50"/>
      <c r="O201" s="48"/>
      <c r="P201" s="48"/>
      <c r="Q201" s="48"/>
      <c r="R201" s="48"/>
      <c r="S201" s="48"/>
      <c r="T201" s="48"/>
      <c r="U201" s="48"/>
      <c r="V201" s="48"/>
      <c r="W201" s="48"/>
      <c r="X201" s="48"/>
      <c r="Y201" s="48"/>
      <c r="Z201" s="48"/>
      <c r="AA201" s="48"/>
      <c r="AB201" s="48"/>
      <c r="AC201" s="48"/>
      <c r="AD201" s="48"/>
    </row>
    <row r="202" spans="1:30" ht="15.75" customHeight="1">
      <c r="A202" s="85"/>
      <c r="B202" s="48"/>
      <c r="C202" s="48"/>
      <c r="D202" s="48"/>
      <c r="E202" s="48"/>
      <c r="F202" s="48"/>
      <c r="G202" s="48"/>
      <c r="H202" s="48"/>
      <c r="I202" s="48"/>
      <c r="J202" s="48"/>
      <c r="K202" s="50"/>
      <c r="L202" s="48"/>
      <c r="M202" s="48"/>
      <c r="N202" s="50"/>
      <c r="O202" s="48"/>
      <c r="P202" s="48"/>
      <c r="Q202" s="48"/>
      <c r="R202" s="48"/>
      <c r="S202" s="48"/>
      <c r="T202" s="48"/>
      <c r="U202" s="48"/>
      <c r="V202" s="48"/>
      <c r="W202" s="48"/>
      <c r="X202" s="48"/>
      <c r="Y202" s="48"/>
      <c r="Z202" s="48"/>
      <c r="AA202" s="48"/>
      <c r="AB202" s="48"/>
      <c r="AC202" s="48"/>
      <c r="AD202" s="48"/>
    </row>
    <row r="203" spans="1:30" ht="15.75" customHeight="1">
      <c r="A203" s="85"/>
      <c r="B203" s="48"/>
      <c r="C203" s="48"/>
      <c r="D203" s="48"/>
      <c r="E203" s="48"/>
      <c r="F203" s="48"/>
      <c r="G203" s="48"/>
      <c r="H203" s="48"/>
      <c r="I203" s="48"/>
      <c r="J203" s="48"/>
      <c r="K203" s="50"/>
      <c r="L203" s="48"/>
      <c r="M203" s="48"/>
      <c r="N203" s="50"/>
      <c r="O203" s="48"/>
      <c r="P203" s="48"/>
      <c r="Q203" s="48"/>
      <c r="R203" s="48"/>
      <c r="S203" s="48"/>
      <c r="T203" s="48"/>
      <c r="U203" s="48"/>
      <c r="V203" s="48"/>
      <c r="W203" s="48"/>
      <c r="X203" s="48"/>
      <c r="Y203" s="48"/>
      <c r="Z203" s="48"/>
      <c r="AA203" s="48"/>
      <c r="AB203" s="48"/>
      <c r="AC203" s="48"/>
      <c r="AD203" s="48"/>
    </row>
    <row r="204" spans="1:30" ht="15.75" customHeight="1">
      <c r="A204" s="85"/>
      <c r="B204" s="48"/>
      <c r="C204" s="48"/>
      <c r="D204" s="48"/>
      <c r="E204" s="48"/>
      <c r="F204" s="48"/>
      <c r="G204" s="48"/>
      <c r="H204" s="48"/>
      <c r="I204" s="48"/>
      <c r="J204" s="48"/>
      <c r="K204" s="50"/>
      <c r="L204" s="48"/>
      <c r="M204" s="48"/>
      <c r="N204" s="50"/>
      <c r="O204" s="48"/>
      <c r="P204" s="48"/>
      <c r="Q204" s="48"/>
      <c r="R204" s="48"/>
      <c r="S204" s="48"/>
      <c r="T204" s="48"/>
      <c r="U204" s="48"/>
      <c r="V204" s="48"/>
      <c r="W204" s="48"/>
      <c r="X204" s="48"/>
      <c r="Y204" s="48"/>
      <c r="Z204" s="48"/>
      <c r="AA204" s="48"/>
      <c r="AB204" s="48"/>
      <c r="AC204" s="48"/>
      <c r="AD204" s="48"/>
    </row>
    <row r="205" spans="1:30" ht="15.75" customHeight="1">
      <c r="A205" s="85"/>
      <c r="B205" s="48"/>
      <c r="C205" s="48"/>
      <c r="D205" s="48"/>
      <c r="E205" s="48"/>
      <c r="F205" s="48"/>
      <c r="G205" s="48"/>
      <c r="H205" s="48"/>
      <c r="I205" s="48"/>
      <c r="J205" s="48"/>
      <c r="K205" s="50"/>
      <c r="L205" s="48"/>
      <c r="M205" s="48"/>
      <c r="N205" s="50"/>
      <c r="O205" s="48"/>
      <c r="P205" s="48"/>
      <c r="Q205" s="48"/>
      <c r="R205" s="48"/>
      <c r="S205" s="48"/>
      <c r="T205" s="48"/>
      <c r="U205" s="48"/>
      <c r="V205" s="48"/>
      <c r="W205" s="48"/>
      <c r="X205" s="48"/>
      <c r="Y205" s="48"/>
      <c r="Z205" s="48"/>
      <c r="AA205" s="48"/>
      <c r="AB205" s="48"/>
      <c r="AC205" s="48"/>
      <c r="AD205" s="48"/>
    </row>
    <row r="206" spans="1:30" ht="15.75" customHeight="1">
      <c r="A206" s="85"/>
      <c r="B206" s="48"/>
      <c r="C206" s="48"/>
      <c r="D206" s="48"/>
      <c r="E206" s="48"/>
      <c r="F206" s="48"/>
      <c r="G206" s="48"/>
      <c r="H206" s="48"/>
      <c r="I206" s="48"/>
      <c r="J206" s="48"/>
      <c r="K206" s="50"/>
      <c r="L206" s="48"/>
      <c r="M206" s="48"/>
      <c r="N206" s="50"/>
      <c r="O206" s="48"/>
      <c r="P206" s="48"/>
      <c r="Q206" s="48"/>
      <c r="R206" s="48"/>
      <c r="S206" s="48"/>
      <c r="T206" s="48"/>
      <c r="U206" s="48"/>
      <c r="V206" s="48"/>
      <c r="W206" s="48"/>
      <c r="X206" s="48"/>
      <c r="Y206" s="48"/>
      <c r="Z206" s="48"/>
      <c r="AA206" s="48"/>
      <c r="AB206" s="48"/>
      <c r="AC206" s="48"/>
      <c r="AD206" s="48"/>
    </row>
    <row r="207" spans="1:30" ht="15.75" customHeight="1">
      <c r="A207" s="85"/>
      <c r="B207" s="48"/>
      <c r="C207" s="48"/>
      <c r="D207" s="48"/>
      <c r="E207" s="48"/>
      <c r="F207" s="48"/>
      <c r="G207" s="48"/>
      <c r="H207" s="48"/>
      <c r="I207" s="48"/>
      <c r="J207" s="48"/>
      <c r="K207" s="50"/>
      <c r="L207" s="48"/>
      <c r="M207" s="48"/>
      <c r="N207" s="50"/>
      <c r="O207" s="48"/>
      <c r="P207" s="48"/>
      <c r="Q207" s="48"/>
      <c r="R207" s="48"/>
      <c r="S207" s="48"/>
      <c r="T207" s="48"/>
      <c r="U207" s="48"/>
      <c r="V207" s="48"/>
      <c r="W207" s="48"/>
      <c r="X207" s="48"/>
      <c r="Y207" s="48"/>
      <c r="Z207" s="48"/>
      <c r="AA207" s="48"/>
      <c r="AB207" s="48"/>
      <c r="AC207" s="48"/>
      <c r="AD207" s="48"/>
    </row>
    <row r="208" spans="1:30" ht="15.75" customHeight="1">
      <c r="A208" s="85"/>
      <c r="B208" s="48"/>
      <c r="C208" s="48"/>
      <c r="D208" s="48"/>
      <c r="E208" s="48"/>
      <c r="F208" s="48"/>
      <c r="G208" s="48"/>
      <c r="H208" s="48"/>
      <c r="I208" s="48"/>
      <c r="J208" s="48"/>
      <c r="K208" s="50"/>
      <c r="L208" s="48"/>
      <c r="M208" s="48"/>
      <c r="N208" s="50"/>
      <c r="O208" s="48"/>
      <c r="P208" s="48"/>
      <c r="Q208" s="48"/>
      <c r="R208" s="48"/>
      <c r="S208" s="48"/>
      <c r="T208" s="48"/>
      <c r="U208" s="48"/>
      <c r="V208" s="48"/>
      <c r="W208" s="48"/>
      <c r="X208" s="48"/>
      <c r="Y208" s="48"/>
      <c r="Z208" s="48"/>
      <c r="AA208" s="48"/>
      <c r="AB208" s="48"/>
      <c r="AC208" s="48"/>
      <c r="AD208" s="48"/>
    </row>
    <row r="209" spans="1:30" ht="15.75" customHeight="1">
      <c r="A209" s="85"/>
      <c r="B209" s="48"/>
      <c r="C209" s="48"/>
      <c r="D209" s="48"/>
      <c r="E209" s="48"/>
      <c r="F209" s="48"/>
      <c r="G209" s="48"/>
      <c r="H209" s="48"/>
      <c r="I209" s="48"/>
      <c r="J209" s="48"/>
      <c r="K209" s="50"/>
      <c r="L209" s="48"/>
      <c r="M209" s="48"/>
      <c r="N209" s="50"/>
      <c r="O209" s="48"/>
      <c r="P209" s="48"/>
      <c r="Q209" s="48"/>
      <c r="R209" s="48"/>
      <c r="S209" s="48"/>
      <c r="T209" s="48"/>
      <c r="U209" s="48"/>
      <c r="V209" s="48"/>
      <c r="W209" s="48"/>
      <c r="X209" s="48"/>
      <c r="Y209" s="48"/>
      <c r="Z209" s="48"/>
      <c r="AA209" s="48"/>
      <c r="AB209" s="48"/>
      <c r="AC209" s="48"/>
      <c r="AD209" s="48"/>
    </row>
    <row r="210" spans="1:30" ht="15.75" customHeight="1">
      <c r="A210" s="85"/>
      <c r="B210" s="48"/>
      <c r="C210" s="48"/>
      <c r="D210" s="48"/>
      <c r="E210" s="48"/>
      <c r="F210" s="48"/>
      <c r="G210" s="48"/>
      <c r="H210" s="48"/>
      <c r="I210" s="48"/>
      <c r="J210" s="48"/>
      <c r="K210" s="50"/>
      <c r="L210" s="48"/>
      <c r="M210" s="48"/>
      <c r="N210" s="50"/>
      <c r="O210" s="48"/>
      <c r="P210" s="48"/>
      <c r="Q210" s="48"/>
      <c r="R210" s="48"/>
      <c r="S210" s="48"/>
      <c r="T210" s="48"/>
      <c r="U210" s="48"/>
      <c r="V210" s="48"/>
      <c r="W210" s="48"/>
      <c r="X210" s="48"/>
      <c r="Y210" s="48"/>
      <c r="Z210" s="48"/>
      <c r="AA210" s="48"/>
      <c r="AB210" s="48"/>
      <c r="AC210" s="48"/>
      <c r="AD210" s="48"/>
    </row>
    <row r="211" spans="1:30" ht="15.75" customHeight="1">
      <c r="A211" s="85"/>
      <c r="B211" s="48"/>
      <c r="C211" s="48"/>
      <c r="D211" s="48"/>
      <c r="E211" s="48"/>
      <c r="F211" s="48"/>
      <c r="G211" s="48"/>
      <c r="H211" s="48"/>
      <c r="I211" s="48"/>
      <c r="J211" s="48"/>
      <c r="K211" s="50"/>
      <c r="L211" s="48"/>
      <c r="M211" s="48"/>
      <c r="N211" s="50"/>
      <c r="O211" s="48"/>
      <c r="P211" s="48"/>
      <c r="Q211" s="48"/>
      <c r="R211" s="48"/>
      <c r="S211" s="48"/>
      <c r="T211" s="48"/>
      <c r="U211" s="48"/>
      <c r="V211" s="48"/>
      <c r="W211" s="48"/>
      <c r="X211" s="48"/>
      <c r="Y211" s="48"/>
      <c r="Z211" s="48"/>
      <c r="AA211" s="48"/>
      <c r="AB211" s="48"/>
      <c r="AC211" s="48"/>
      <c r="AD211" s="48"/>
    </row>
    <row r="212" spans="1:30" ht="15.75" customHeight="1">
      <c r="A212" s="85"/>
      <c r="B212" s="48"/>
      <c r="C212" s="48"/>
      <c r="D212" s="48"/>
      <c r="E212" s="48"/>
      <c r="F212" s="48"/>
      <c r="G212" s="48"/>
      <c r="H212" s="48"/>
      <c r="I212" s="48"/>
      <c r="J212" s="48"/>
      <c r="K212" s="50"/>
      <c r="L212" s="48"/>
      <c r="M212" s="48"/>
      <c r="N212" s="50"/>
      <c r="O212" s="48"/>
      <c r="P212" s="48"/>
      <c r="Q212" s="48"/>
      <c r="R212" s="48"/>
      <c r="S212" s="48"/>
      <c r="T212" s="48"/>
      <c r="U212" s="48"/>
      <c r="V212" s="48"/>
      <c r="W212" s="48"/>
      <c r="X212" s="48"/>
      <c r="Y212" s="48"/>
      <c r="Z212" s="48"/>
      <c r="AA212" s="48"/>
      <c r="AB212" s="48"/>
      <c r="AC212" s="48"/>
      <c r="AD212" s="48"/>
    </row>
    <row r="213" spans="1:30" ht="15.75" customHeight="1">
      <c r="A213" s="85"/>
      <c r="B213" s="48"/>
      <c r="C213" s="48"/>
      <c r="D213" s="48"/>
      <c r="E213" s="48"/>
      <c r="F213" s="48"/>
      <c r="G213" s="48"/>
      <c r="H213" s="48"/>
      <c r="I213" s="48"/>
      <c r="J213" s="48"/>
      <c r="K213" s="50"/>
      <c r="L213" s="48"/>
      <c r="M213" s="48"/>
      <c r="N213" s="50"/>
      <c r="O213" s="48"/>
      <c r="P213" s="48"/>
      <c r="Q213" s="48"/>
      <c r="R213" s="48"/>
      <c r="S213" s="48"/>
      <c r="T213" s="48"/>
      <c r="U213" s="48"/>
      <c r="V213" s="48"/>
      <c r="W213" s="48"/>
      <c r="X213" s="48"/>
      <c r="Y213" s="48"/>
      <c r="Z213" s="48"/>
      <c r="AA213" s="48"/>
      <c r="AB213" s="48"/>
      <c r="AC213" s="48"/>
      <c r="AD213" s="48"/>
    </row>
    <row r="214" spans="1:30" ht="15.75" customHeight="1">
      <c r="A214" s="85"/>
      <c r="B214" s="48"/>
      <c r="C214" s="48"/>
      <c r="D214" s="48"/>
      <c r="E214" s="48"/>
      <c r="F214" s="48"/>
      <c r="G214" s="48"/>
      <c r="H214" s="48"/>
      <c r="I214" s="48"/>
      <c r="J214" s="48"/>
      <c r="K214" s="50"/>
      <c r="L214" s="48"/>
      <c r="M214" s="48"/>
      <c r="N214" s="50"/>
      <c r="O214" s="48"/>
      <c r="P214" s="48"/>
      <c r="Q214" s="48"/>
      <c r="R214" s="48"/>
      <c r="S214" s="48"/>
      <c r="T214" s="48"/>
      <c r="U214" s="48"/>
      <c r="V214" s="48"/>
      <c r="W214" s="48"/>
      <c r="X214" s="48"/>
      <c r="Y214" s="48"/>
      <c r="Z214" s="48"/>
      <c r="AA214" s="48"/>
      <c r="AB214" s="48"/>
      <c r="AC214" s="48"/>
      <c r="AD214" s="48"/>
    </row>
    <row r="215" spans="1:30" ht="15.75" customHeight="1">
      <c r="A215" s="85"/>
      <c r="B215" s="48"/>
      <c r="C215" s="48"/>
      <c r="D215" s="48"/>
      <c r="E215" s="48"/>
      <c r="F215" s="48"/>
      <c r="G215" s="48"/>
      <c r="H215" s="48"/>
      <c r="I215" s="48"/>
      <c r="J215" s="48"/>
      <c r="K215" s="50"/>
      <c r="L215" s="48"/>
      <c r="M215" s="48"/>
      <c r="N215" s="50"/>
      <c r="O215" s="48"/>
      <c r="P215" s="48"/>
      <c r="Q215" s="48"/>
      <c r="R215" s="48"/>
      <c r="S215" s="48"/>
      <c r="T215" s="48"/>
      <c r="U215" s="48"/>
      <c r="V215" s="48"/>
      <c r="W215" s="48"/>
      <c r="X215" s="48"/>
      <c r="Y215" s="48"/>
      <c r="Z215" s="48"/>
      <c r="AA215" s="48"/>
      <c r="AB215" s="48"/>
      <c r="AC215" s="48"/>
      <c r="AD215" s="48"/>
    </row>
    <row r="216" spans="1:30" ht="15.75" customHeight="1">
      <c r="A216" s="85"/>
      <c r="B216" s="48"/>
      <c r="C216" s="48"/>
      <c r="D216" s="48"/>
      <c r="E216" s="48"/>
      <c r="F216" s="48"/>
      <c r="G216" s="48"/>
      <c r="H216" s="48"/>
      <c r="I216" s="48"/>
      <c r="J216" s="48"/>
      <c r="K216" s="50"/>
      <c r="L216" s="48"/>
      <c r="M216" s="48"/>
      <c r="N216" s="50"/>
      <c r="O216" s="48"/>
      <c r="P216" s="48"/>
      <c r="Q216" s="48"/>
      <c r="R216" s="48"/>
      <c r="S216" s="48"/>
      <c r="T216" s="48"/>
      <c r="U216" s="48"/>
      <c r="V216" s="48"/>
      <c r="W216" s="48"/>
      <c r="X216" s="48"/>
      <c r="Y216" s="48"/>
      <c r="Z216" s="48"/>
      <c r="AA216" s="48"/>
      <c r="AB216" s="48"/>
      <c r="AC216" s="48"/>
      <c r="AD216" s="48"/>
    </row>
    <row r="217" spans="1:30" ht="15.75" customHeight="1">
      <c r="A217" s="85"/>
      <c r="B217" s="48"/>
      <c r="C217" s="48"/>
      <c r="D217" s="48"/>
      <c r="E217" s="48"/>
      <c r="F217" s="48"/>
      <c r="G217" s="48"/>
      <c r="H217" s="48"/>
      <c r="I217" s="48"/>
      <c r="J217" s="48"/>
      <c r="K217" s="50"/>
      <c r="L217" s="48"/>
      <c r="M217" s="48"/>
      <c r="N217" s="50"/>
      <c r="O217" s="48"/>
      <c r="P217" s="48"/>
      <c r="Q217" s="48"/>
      <c r="R217" s="48"/>
      <c r="S217" s="48"/>
      <c r="T217" s="48"/>
      <c r="U217" s="48"/>
      <c r="V217" s="48"/>
      <c r="W217" s="48"/>
      <c r="X217" s="48"/>
      <c r="Y217" s="48"/>
      <c r="Z217" s="48"/>
      <c r="AA217" s="48"/>
      <c r="AB217" s="48"/>
      <c r="AC217" s="48"/>
      <c r="AD217" s="48"/>
    </row>
    <row r="218" spans="1:30" ht="15.75" customHeight="1">
      <c r="A218" s="85"/>
      <c r="B218" s="48"/>
      <c r="C218" s="48"/>
      <c r="D218" s="48"/>
      <c r="E218" s="48"/>
      <c r="F218" s="48"/>
      <c r="G218" s="48"/>
      <c r="H218" s="48"/>
      <c r="I218" s="48"/>
      <c r="J218" s="48"/>
      <c r="K218" s="50"/>
      <c r="L218" s="48"/>
      <c r="M218" s="48"/>
      <c r="N218" s="50"/>
      <c r="O218" s="48"/>
      <c r="P218" s="48"/>
      <c r="Q218" s="48"/>
      <c r="R218" s="48"/>
      <c r="S218" s="48"/>
      <c r="T218" s="48"/>
      <c r="U218" s="48"/>
      <c r="V218" s="48"/>
      <c r="W218" s="48"/>
      <c r="X218" s="48"/>
      <c r="Y218" s="48"/>
      <c r="Z218" s="48"/>
      <c r="AA218" s="48"/>
      <c r="AB218" s="48"/>
      <c r="AC218" s="48"/>
      <c r="AD218" s="48"/>
    </row>
    <row r="219" spans="1:30" ht="15.75" customHeight="1">
      <c r="A219" s="85"/>
      <c r="B219" s="48"/>
      <c r="C219" s="48"/>
      <c r="D219" s="48"/>
      <c r="E219" s="48"/>
      <c r="F219" s="48"/>
      <c r="G219" s="48"/>
      <c r="H219" s="48"/>
      <c r="I219" s="48"/>
      <c r="J219" s="48"/>
      <c r="K219" s="50"/>
      <c r="L219" s="48"/>
      <c r="M219" s="48"/>
      <c r="N219" s="50"/>
      <c r="O219" s="48"/>
      <c r="P219" s="48"/>
      <c r="Q219" s="48"/>
      <c r="R219" s="48"/>
      <c r="S219" s="48"/>
      <c r="T219" s="48"/>
      <c r="U219" s="48"/>
      <c r="V219" s="48"/>
      <c r="W219" s="48"/>
      <c r="X219" s="48"/>
      <c r="Y219" s="48"/>
      <c r="Z219" s="48"/>
      <c r="AA219" s="48"/>
      <c r="AB219" s="48"/>
      <c r="AC219" s="48"/>
      <c r="AD219" s="48"/>
    </row>
    <row r="220" spans="1:30" ht="15.75" customHeight="1">
      <c r="A220" s="85"/>
      <c r="B220" s="48"/>
      <c r="C220" s="48"/>
      <c r="D220" s="48"/>
      <c r="E220" s="48"/>
      <c r="F220" s="48"/>
      <c r="G220" s="48"/>
      <c r="H220" s="48"/>
      <c r="I220" s="48"/>
      <c r="J220" s="48"/>
      <c r="K220" s="50"/>
      <c r="L220" s="48"/>
      <c r="M220" s="48"/>
      <c r="N220" s="50"/>
      <c r="O220" s="48"/>
      <c r="P220" s="48"/>
      <c r="Q220" s="48"/>
      <c r="R220" s="48"/>
      <c r="S220" s="48"/>
      <c r="T220" s="48"/>
      <c r="U220" s="48"/>
      <c r="V220" s="48"/>
      <c r="W220" s="48"/>
      <c r="X220" s="48"/>
      <c r="Y220" s="48"/>
      <c r="Z220" s="48"/>
      <c r="AA220" s="48"/>
      <c r="AB220" s="48"/>
      <c r="AC220" s="48"/>
      <c r="AD220" s="48"/>
    </row>
    <row r="221" spans="1:30" ht="15.75" customHeight="1">
      <c r="A221" s="85"/>
      <c r="B221" s="48"/>
      <c r="C221" s="48"/>
      <c r="D221" s="48"/>
      <c r="E221" s="48"/>
      <c r="F221" s="48"/>
      <c r="G221" s="48"/>
      <c r="H221" s="48"/>
      <c r="I221" s="48"/>
      <c r="J221" s="48"/>
      <c r="K221" s="50"/>
      <c r="L221" s="48"/>
      <c r="M221" s="48"/>
      <c r="N221" s="50"/>
      <c r="O221" s="48"/>
      <c r="P221" s="48"/>
      <c r="Q221" s="48"/>
      <c r="R221" s="48"/>
      <c r="S221" s="48"/>
      <c r="T221" s="48"/>
      <c r="U221" s="48"/>
      <c r="V221" s="48"/>
      <c r="W221" s="48"/>
      <c r="X221" s="48"/>
      <c r="Y221" s="48"/>
      <c r="Z221" s="48"/>
      <c r="AA221" s="48"/>
      <c r="AB221" s="48"/>
      <c r="AC221" s="48"/>
      <c r="AD221" s="48"/>
    </row>
    <row r="222" spans="1:30" ht="15.75" customHeight="1">
      <c r="A222" s="85"/>
      <c r="B222" s="48"/>
      <c r="C222" s="48"/>
      <c r="D222" s="48"/>
      <c r="E222" s="48"/>
      <c r="F222" s="48"/>
      <c r="G222" s="48"/>
      <c r="H222" s="48"/>
      <c r="I222" s="48"/>
      <c r="J222" s="48"/>
      <c r="K222" s="50"/>
      <c r="L222" s="48"/>
      <c r="M222" s="48"/>
      <c r="N222" s="50"/>
      <c r="O222" s="48"/>
      <c r="P222" s="48"/>
      <c r="Q222" s="48"/>
      <c r="R222" s="48"/>
      <c r="S222" s="48"/>
      <c r="T222" s="48"/>
      <c r="U222" s="48"/>
      <c r="V222" s="48"/>
      <c r="W222" s="48"/>
      <c r="X222" s="48"/>
      <c r="Y222" s="48"/>
      <c r="Z222" s="48"/>
      <c r="AA222" s="48"/>
      <c r="AB222" s="48"/>
      <c r="AC222" s="48"/>
      <c r="AD222" s="48"/>
    </row>
    <row r="223" spans="1:30" ht="15.75" customHeight="1">
      <c r="A223" s="85"/>
      <c r="B223" s="48"/>
      <c r="C223" s="48"/>
      <c r="D223" s="48"/>
      <c r="E223" s="48"/>
      <c r="F223" s="48"/>
      <c r="G223" s="48"/>
      <c r="H223" s="48"/>
      <c r="I223" s="48"/>
      <c r="J223" s="48"/>
      <c r="K223" s="50"/>
      <c r="L223" s="48"/>
      <c r="M223" s="48"/>
      <c r="N223" s="50"/>
      <c r="O223" s="48"/>
      <c r="P223" s="48"/>
      <c r="Q223" s="48"/>
      <c r="R223" s="48"/>
      <c r="S223" s="48"/>
      <c r="T223" s="48"/>
      <c r="U223" s="48"/>
      <c r="V223" s="48"/>
      <c r="W223" s="48"/>
      <c r="X223" s="48"/>
      <c r="Y223" s="48"/>
      <c r="Z223" s="48"/>
      <c r="AA223" s="48"/>
      <c r="AB223" s="48"/>
      <c r="AC223" s="48"/>
      <c r="AD223" s="48"/>
    </row>
    <row r="224" spans="1:30" ht="15.75" customHeight="1">
      <c r="A224" s="85"/>
      <c r="B224" s="48"/>
      <c r="C224" s="48"/>
      <c r="D224" s="48"/>
      <c r="E224" s="48"/>
      <c r="F224" s="48"/>
      <c r="G224" s="48"/>
      <c r="H224" s="48"/>
      <c r="I224" s="48"/>
      <c r="J224" s="48"/>
      <c r="K224" s="50"/>
      <c r="L224" s="48"/>
      <c r="M224" s="48"/>
      <c r="N224" s="50"/>
      <c r="O224" s="48"/>
      <c r="P224" s="48"/>
      <c r="Q224" s="48"/>
      <c r="R224" s="48"/>
      <c r="S224" s="48"/>
      <c r="T224" s="48"/>
      <c r="U224" s="48"/>
      <c r="V224" s="48"/>
      <c r="W224" s="48"/>
      <c r="X224" s="48"/>
      <c r="Y224" s="48"/>
      <c r="Z224" s="48"/>
      <c r="AA224" s="48"/>
      <c r="AB224" s="48"/>
      <c r="AC224" s="48"/>
      <c r="AD224" s="48"/>
    </row>
    <row r="225" spans="1:30" ht="15.75" customHeight="1">
      <c r="A225" s="85"/>
      <c r="B225" s="48"/>
      <c r="C225" s="48"/>
      <c r="D225" s="48"/>
      <c r="E225" s="48"/>
      <c r="F225" s="48"/>
      <c r="G225" s="48"/>
      <c r="H225" s="48"/>
      <c r="I225" s="48"/>
      <c r="J225" s="48"/>
      <c r="K225" s="50"/>
      <c r="L225" s="48"/>
      <c r="M225" s="48"/>
      <c r="N225" s="50"/>
      <c r="O225" s="48"/>
      <c r="P225" s="48"/>
      <c r="Q225" s="48"/>
      <c r="R225" s="48"/>
      <c r="S225" s="48"/>
      <c r="T225" s="48"/>
      <c r="U225" s="48"/>
      <c r="V225" s="48"/>
      <c r="W225" s="48"/>
      <c r="X225" s="48"/>
      <c r="Y225" s="48"/>
      <c r="Z225" s="48"/>
      <c r="AA225" s="48"/>
      <c r="AB225" s="48"/>
      <c r="AC225" s="48"/>
      <c r="AD225" s="48"/>
    </row>
    <row r="226" spans="1:30" ht="15.75" customHeight="1">
      <c r="A226" s="85"/>
      <c r="B226" s="48"/>
      <c r="C226" s="48"/>
      <c r="D226" s="48"/>
      <c r="E226" s="48"/>
      <c r="F226" s="48"/>
      <c r="G226" s="48"/>
      <c r="H226" s="48"/>
      <c r="I226" s="48"/>
      <c r="J226" s="48"/>
      <c r="K226" s="50"/>
      <c r="L226" s="48"/>
      <c r="M226" s="48"/>
      <c r="N226" s="50"/>
      <c r="O226" s="48"/>
      <c r="P226" s="48"/>
      <c r="Q226" s="48"/>
      <c r="R226" s="48"/>
      <c r="S226" s="48"/>
      <c r="T226" s="48"/>
      <c r="U226" s="48"/>
      <c r="V226" s="48"/>
      <c r="W226" s="48"/>
      <c r="X226" s="48"/>
      <c r="Y226" s="48"/>
      <c r="Z226" s="48"/>
      <c r="AA226" s="48"/>
      <c r="AB226" s="48"/>
      <c r="AC226" s="48"/>
      <c r="AD226" s="48"/>
    </row>
    <row r="227" spans="1:30" ht="15.75" customHeight="1">
      <c r="A227" s="85"/>
      <c r="B227" s="48"/>
      <c r="C227" s="48"/>
      <c r="D227" s="48"/>
      <c r="E227" s="48"/>
      <c r="F227" s="48"/>
      <c r="G227" s="48"/>
      <c r="H227" s="48"/>
      <c r="I227" s="48"/>
      <c r="J227" s="48"/>
      <c r="K227" s="50"/>
      <c r="L227" s="48"/>
      <c r="M227" s="48"/>
      <c r="N227" s="50"/>
      <c r="O227" s="48"/>
      <c r="P227" s="48"/>
      <c r="Q227" s="48"/>
      <c r="R227" s="48"/>
      <c r="S227" s="48"/>
      <c r="T227" s="48"/>
      <c r="U227" s="48"/>
      <c r="V227" s="48"/>
      <c r="W227" s="48"/>
      <c r="X227" s="48"/>
      <c r="Y227" s="48"/>
      <c r="Z227" s="48"/>
      <c r="AA227" s="48"/>
      <c r="AB227" s="48"/>
      <c r="AC227" s="48"/>
      <c r="AD227" s="48"/>
    </row>
    <row r="228" spans="1:30" ht="15.75" customHeight="1">
      <c r="A228" s="85"/>
      <c r="B228" s="48"/>
      <c r="C228" s="48"/>
      <c r="D228" s="48"/>
      <c r="E228" s="48"/>
      <c r="F228" s="48"/>
      <c r="G228" s="48"/>
      <c r="H228" s="48"/>
      <c r="I228" s="48"/>
      <c r="J228" s="48"/>
      <c r="K228" s="50"/>
      <c r="L228" s="48"/>
      <c r="M228" s="48"/>
      <c r="N228" s="50"/>
      <c r="O228" s="48"/>
      <c r="P228" s="48"/>
      <c r="Q228" s="48"/>
      <c r="R228" s="48"/>
      <c r="S228" s="48"/>
      <c r="T228" s="48"/>
      <c r="U228" s="48"/>
      <c r="V228" s="48"/>
      <c r="W228" s="48"/>
      <c r="X228" s="48"/>
      <c r="Y228" s="48"/>
      <c r="Z228" s="48"/>
      <c r="AA228" s="48"/>
      <c r="AB228" s="48"/>
      <c r="AC228" s="48"/>
      <c r="AD228" s="48"/>
    </row>
    <row r="229" spans="1:30" ht="15.75" customHeight="1">
      <c r="A229" s="85"/>
      <c r="B229" s="48"/>
      <c r="C229" s="48"/>
      <c r="D229" s="48"/>
      <c r="E229" s="48"/>
      <c r="F229" s="48"/>
      <c r="G229" s="48"/>
      <c r="H229" s="48"/>
      <c r="I229" s="48"/>
      <c r="J229" s="48"/>
      <c r="K229" s="50"/>
      <c r="L229" s="48"/>
      <c r="M229" s="48"/>
      <c r="N229" s="50"/>
      <c r="O229" s="48"/>
      <c r="P229" s="48"/>
      <c r="Q229" s="48"/>
      <c r="R229" s="48"/>
      <c r="S229" s="48"/>
      <c r="T229" s="48"/>
      <c r="U229" s="48"/>
      <c r="V229" s="48"/>
      <c r="W229" s="48"/>
      <c r="X229" s="48"/>
      <c r="Y229" s="48"/>
      <c r="Z229" s="48"/>
      <c r="AA229" s="48"/>
      <c r="AB229" s="48"/>
      <c r="AC229" s="48"/>
      <c r="AD229" s="48"/>
    </row>
    <row r="230" spans="1:30" ht="15.75" customHeight="1">
      <c r="A230" s="85"/>
      <c r="B230" s="48"/>
      <c r="C230" s="48"/>
      <c r="D230" s="48"/>
      <c r="E230" s="48"/>
      <c r="F230" s="48"/>
      <c r="G230" s="48"/>
      <c r="H230" s="48"/>
      <c r="I230" s="48"/>
      <c r="J230" s="48"/>
      <c r="K230" s="50"/>
      <c r="L230" s="48"/>
      <c r="M230" s="48"/>
      <c r="N230" s="50"/>
      <c r="O230" s="48"/>
      <c r="P230" s="48"/>
      <c r="Q230" s="48"/>
      <c r="R230" s="48"/>
      <c r="S230" s="48"/>
      <c r="T230" s="48"/>
      <c r="U230" s="48"/>
      <c r="V230" s="48"/>
      <c r="W230" s="48"/>
      <c r="X230" s="48"/>
      <c r="Y230" s="48"/>
      <c r="Z230" s="48"/>
      <c r="AA230" s="48"/>
      <c r="AB230" s="48"/>
      <c r="AC230" s="48"/>
      <c r="AD230" s="48"/>
    </row>
    <row r="231" spans="1:30" ht="15.75" customHeight="1">
      <c r="A231" s="85"/>
      <c r="B231" s="48"/>
      <c r="C231" s="48"/>
      <c r="D231" s="48"/>
      <c r="E231" s="48"/>
      <c r="F231" s="48"/>
      <c r="G231" s="48"/>
      <c r="H231" s="48"/>
      <c r="I231" s="48"/>
      <c r="J231" s="48"/>
      <c r="K231" s="50"/>
      <c r="L231" s="48"/>
      <c r="M231" s="48"/>
      <c r="N231" s="50"/>
      <c r="O231" s="48"/>
      <c r="P231" s="48"/>
      <c r="Q231" s="48"/>
      <c r="R231" s="48"/>
      <c r="S231" s="48"/>
      <c r="T231" s="48"/>
      <c r="U231" s="48"/>
      <c r="V231" s="48"/>
      <c r="W231" s="48"/>
      <c r="X231" s="48"/>
      <c r="Y231" s="48"/>
      <c r="Z231" s="48"/>
      <c r="AA231" s="48"/>
      <c r="AB231" s="48"/>
      <c r="AC231" s="48"/>
      <c r="AD231" s="48"/>
    </row>
    <row r="232" spans="1:30" ht="15.75" customHeight="1">
      <c r="A232" s="85"/>
      <c r="B232" s="48"/>
      <c r="C232" s="48"/>
      <c r="D232" s="48"/>
      <c r="E232" s="48"/>
      <c r="F232" s="48"/>
      <c r="G232" s="48"/>
      <c r="H232" s="48"/>
      <c r="I232" s="48"/>
      <c r="J232" s="48"/>
      <c r="K232" s="50"/>
      <c r="L232" s="48"/>
      <c r="M232" s="48"/>
      <c r="N232" s="50"/>
      <c r="O232" s="48"/>
      <c r="P232" s="48"/>
      <c r="Q232" s="48"/>
      <c r="R232" s="48"/>
      <c r="S232" s="48"/>
      <c r="T232" s="48"/>
      <c r="U232" s="48"/>
      <c r="V232" s="48"/>
      <c r="W232" s="48"/>
      <c r="X232" s="48"/>
      <c r="Y232" s="48"/>
      <c r="Z232" s="48"/>
      <c r="AA232" s="48"/>
      <c r="AB232" s="48"/>
      <c r="AC232" s="48"/>
      <c r="AD232" s="48"/>
    </row>
    <row r="233" spans="1:30" ht="15.75" customHeight="1">
      <c r="A233" s="85"/>
      <c r="B233" s="48"/>
      <c r="C233" s="48"/>
      <c r="D233" s="48"/>
      <c r="E233" s="48"/>
      <c r="F233" s="48"/>
      <c r="G233" s="48"/>
      <c r="H233" s="48"/>
      <c r="I233" s="48"/>
      <c r="J233" s="48"/>
      <c r="K233" s="50"/>
      <c r="L233" s="48"/>
      <c r="M233" s="48"/>
      <c r="N233" s="50"/>
      <c r="O233" s="48"/>
      <c r="P233" s="48"/>
      <c r="Q233" s="48"/>
      <c r="R233" s="48"/>
      <c r="S233" s="48"/>
      <c r="T233" s="48"/>
      <c r="U233" s="48"/>
      <c r="V233" s="48"/>
      <c r="W233" s="48"/>
      <c r="X233" s="48"/>
      <c r="Y233" s="48"/>
      <c r="Z233" s="48"/>
      <c r="AA233" s="48"/>
      <c r="AB233" s="48"/>
      <c r="AC233" s="48"/>
      <c r="AD233" s="48"/>
    </row>
    <row r="234" spans="1:30" ht="15.75" customHeight="1"/>
    <row r="235" spans="1:30" ht="15.75" customHeight="1"/>
    <row r="236" spans="1:30" ht="15.75" customHeight="1"/>
    <row r="237" spans="1:30" ht="15.75" customHeight="1"/>
    <row r="238" spans="1:30" ht="15.75" customHeight="1"/>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N10:N12"/>
    <mergeCell ref="O10:O12"/>
    <mergeCell ref="P10:P12"/>
    <mergeCell ref="B10:B12"/>
    <mergeCell ref="B16:B18"/>
    <mergeCell ref="E10:E12"/>
    <mergeCell ref="F10:F12"/>
    <mergeCell ref="K10:M10"/>
    <mergeCell ref="K11:M11"/>
    <mergeCell ref="G10:G12"/>
    <mergeCell ref="H10:H12"/>
    <mergeCell ref="I10:I12"/>
    <mergeCell ref="J10:J12"/>
    <mergeCell ref="C1:D1"/>
    <mergeCell ref="A10:A12"/>
    <mergeCell ref="C10:C12"/>
    <mergeCell ref="D10:D12"/>
    <mergeCell ref="B13:C13"/>
    <mergeCell ref="B40:D40"/>
    <mergeCell ref="B14:P14"/>
    <mergeCell ref="B15:P15"/>
    <mergeCell ref="B21:P21"/>
    <mergeCell ref="B22:P22"/>
    <mergeCell ref="B26:P26"/>
    <mergeCell ref="B30:P30"/>
    <mergeCell ref="B32:P32"/>
    <mergeCell ref="B35:F35"/>
    <mergeCell ref="B36:F36"/>
    <mergeCell ref="B37:K37"/>
    <mergeCell ref="B38:F38"/>
    <mergeCell ref="B39:D39"/>
    <mergeCell ref="B19:B20"/>
    <mergeCell ref="B23:B25"/>
  </mergeCells>
  <dataValidations count="3">
    <dataValidation type="list" allowBlank="1" sqref="K16:M20 K23:M25 K27:M29 K31:M31 K33:M33" xr:uid="{00000000-0002-0000-0300-000000000000}">
      <formula1>"P,F,PE"</formula1>
    </dataValidation>
    <dataValidation type="list" allowBlank="1" sqref="H16:H20 H23:H25 H27:H29 H31 H33" xr:uid="{00000000-0002-0000-0300-000001000000}">
      <formula1>"NONE,HIGHEST,HIGH,MEDIUM,LOW,LOWEST"</formula1>
    </dataValidation>
    <dataValidation type="list" allowBlank="1" sqref="I16:I20 I23:I25 I27:I29 I31 I33" xr:uid="{00000000-0002-0000-0300-000002000000}">
      <formula1>"CRITICAL,MAJOR,MINOR"</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A84F"/>
    <outlinePr summaryBelow="0" summaryRight="0"/>
  </sheetPr>
  <dimension ref="A1:AD973"/>
  <sheetViews>
    <sheetView workbookViewId="0"/>
  </sheetViews>
  <sheetFormatPr defaultColWidth="12.5703125" defaultRowHeight="15" customHeight="1" outlineLevelRow="3"/>
  <cols>
    <col min="1" max="1" width="12.5703125" customWidth="1"/>
    <col min="2" max="2" width="39.140625" customWidth="1"/>
    <col min="3" max="3" width="32.7109375" customWidth="1"/>
    <col min="4" max="4" width="40.28515625" customWidth="1"/>
    <col min="5" max="5" width="37.28515625" customWidth="1"/>
    <col min="6" max="6" width="26.7109375" customWidth="1"/>
    <col min="7" max="7" width="39.42578125" customWidth="1"/>
  </cols>
  <sheetData>
    <row r="1" spans="1:30" ht="26.25">
      <c r="A1" s="48"/>
      <c r="B1" s="48"/>
      <c r="C1" s="139" t="s">
        <v>38</v>
      </c>
      <c r="D1" s="130"/>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182</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183</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COUNTIF($N$13:$N$175,"P")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COUNTIF($N$13:$N$175,"F")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COUNTIF($N$13:$N$175,"PE")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17</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COUNTA($G$13:$G$175)</f>
        <v>17</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12.75">
      <c r="A10" s="140" t="s">
        <v>48</v>
      </c>
      <c r="B10" s="140" t="s">
        <v>49</v>
      </c>
      <c r="C10" s="140" t="s">
        <v>50</v>
      </c>
      <c r="D10" s="140" t="s">
        <v>51</v>
      </c>
      <c r="E10" s="140" t="s">
        <v>52</v>
      </c>
      <c r="F10" s="140" t="s">
        <v>53</v>
      </c>
      <c r="G10" s="140" t="s">
        <v>54</v>
      </c>
      <c r="H10" s="140" t="s">
        <v>55</v>
      </c>
      <c r="I10" s="140" t="s">
        <v>56</v>
      </c>
      <c r="J10" s="140" t="s">
        <v>57</v>
      </c>
      <c r="K10" s="149" t="s">
        <v>58</v>
      </c>
      <c r="L10" s="121"/>
      <c r="M10" s="122"/>
      <c r="N10" s="140" t="s">
        <v>59</v>
      </c>
      <c r="O10" s="140" t="s">
        <v>60</v>
      </c>
      <c r="P10" s="140" t="s">
        <v>61</v>
      </c>
      <c r="Q10" s="48"/>
      <c r="R10" s="48"/>
      <c r="S10" s="48"/>
      <c r="T10" s="48"/>
      <c r="U10" s="48"/>
      <c r="V10" s="48"/>
      <c r="W10" s="48"/>
      <c r="X10" s="48"/>
      <c r="Y10" s="48"/>
      <c r="Z10" s="48"/>
      <c r="AA10" s="48"/>
      <c r="AB10" s="48"/>
      <c r="AC10" s="48"/>
      <c r="AD10" s="48"/>
    </row>
    <row r="11" spans="1:30" ht="12.75">
      <c r="A11" s="141"/>
      <c r="B11" s="141"/>
      <c r="C11" s="141"/>
      <c r="D11" s="141"/>
      <c r="E11" s="141"/>
      <c r="F11" s="141"/>
      <c r="G11" s="141"/>
      <c r="H11" s="141"/>
      <c r="I11" s="141"/>
      <c r="J11" s="141"/>
      <c r="K11" s="150" t="s">
        <v>62</v>
      </c>
      <c r="L11" s="136"/>
      <c r="M11" s="137"/>
      <c r="N11" s="141"/>
      <c r="O11" s="141"/>
      <c r="P11" s="141"/>
      <c r="Q11" s="48"/>
      <c r="R11" s="48"/>
      <c r="S11" s="48"/>
      <c r="T11" s="48"/>
      <c r="U11" s="48"/>
      <c r="V11" s="48"/>
      <c r="W11" s="48"/>
      <c r="X11" s="48"/>
      <c r="Y11" s="48"/>
      <c r="Z11" s="48"/>
      <c r="AA11" s="48"/>
      <c r="AB11" s="48"/>
      <c r="AC11" s="48"/>
      <c r="AD11" s="48"/>
    </row>
    <row r="12" spans="1:30" ht="15.75">
      <c r="A12" s="142"/>
      <c r="B12" s="142"/>
      <c r="C12" s="142"/>
      <c r="D12" s="142"/>
      <c r="E12" s="142"/>
      <c r="F12" s="142"/>
      <c r="G12" s="142"/>
      <c r="H12" s="142"/>
      <c r="I12" s="142"/>
      <c r="J12" s="142"/>
      <c r="K12" s="57" t="s">
        <v>63</v>
      </c>
      <c r="L12" s="57" t="s">
        <v>64</v>
      </c>
      <c r="M12" s="57" t="s">
        <v>65</v>
      </c>
      <c r="N12" s="142"/>
      <c r="O12" s="142"/>
      <c r="P12" s="142"/>
      <c r="Q12" s="48"/>
      <c r="R12" s="48"/>
      <c r="S12" s="48"/>
      <c r="T12" s="48"/>
      <c r="U12" s="48"/>
      <c r="V12" s="48"/>
      <c r="W12" s="48"/>
      <c r="X12" s="48"/>
      <c r="Y12" s="48"/>
      <c r="Z12" s="48"/>
      <c r="AA12" s="48"/>
      <c r="AB12" s="48"/>
      <c r="AC12" s="48"/>
      <c r="AD12" s="48"/>
    </row>
    <row r="13" spans="1:30" ht="46.5" customHeight="1">
      <c r="A13" s="58"/>
      <c r="B13" s="155" t="s">
        <v>184</v>
      </c>
      <c r="C13" s="122"/>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15.75">
      <c r="A14" s="61" t="str">
        <f t="shared" ref="A14:A39" si="0">IF(AND(G14="",G14=""),"",$D$3&amp;"_"&amp;ROW()-13-COUNTBLANK($G$14:G14))</f>
        <v/>
      </c>
      <c r="B14" s="133" t="s">
        <v>67</v>
      </c>
      <c r="C14" s="121"/>
      <c r="D14" s="121"/>
      <c r="E14" s="121"/>
      <c r="F14" s="121"/>
      <c r="G14" s="121"/>
      <c r="H14" s="121"/>
      <c r="I14" s="121"/>
      <c r="J14" s="121"/>
      <c r="K14" s="121"/>
      <c r="L14" s="121"/>
      <c r="M14" s="121"/>
      <c r="N14" s="121"/>
      <c r="O14" s="121"/>
      <c r="P14" s="122"/>
      <c r="Q14" s="48"/>
      <c r="R14" s="48"/>
      <c r="S14" s="48"/>
      <c r="T14" s="48"/>
      <c r="U14" s="48"/>
      <c r="V14" s="48"/>
      <c r="W14" s="48"/>
      <c r="X14" s="48"/>
      <c r="Y14" s="48"/>
      <c r="Z14" s="48"/>
      <c r="AA14" s="48"/>
      <c r="AB14" s="48"/>
      <c r="AC14" s="48"/>
      <c r="AD14" s="48"/>
    </row>
    <row r="15" spans="1:30" ht="15.75" outlineLevel="1">
      <c r="A15" s="61" t="str">
        <f t="shared" si="0"/>
        <v/>
      </c>
      <c r="B15" s="134" t="s">
        <v>68</v>
      </c>
      <c r="C15" s="121"/>
      <c r="D15" s="121"/>
      <c r="E15" s="121"/>
      <c r="F15" s="121"/>
      <c r="G15" s="121"/>
      <c r="H15" s="121"/>
      <c r="I15" s="121"/>
      <c r="J15" s="121"/>
      <c r="K15" s="121"/>
      <c r="L15" s="121"/>
      <c r="M15" s="121"/>
      <c r="N15" s="121"/>
      <c r="O15" s="121"/>
      <c r="P15" s="122"/>
      <c r="Q15" s="48"/>
      <c r="R15" s="48"/>
      <c r="S15" s="48"/>
      <c r="T15" s="48"/>
      <c r="U15" s="48"/>
      <c r="V15" s="48"/>
      <c r="W15" s="48"/>
      <c r="X15" s="48"/>
      <c r="Y15" s="48"/>
      <c r="Z15" s="48"/>
      <c r="AA15" s="48"/>
      <c r="AB15" s="48"/>
      <c r="AC15" s="48"/>
      <c r="AD15" s="48"/>
    </row>
    <row r="16" spans="1:30" ht="47.25" outlineLevel="2">
      <c r="A16" s="61" t="str">
        <f t="shared" si="0"/>
        <v>AU3_1</v>
      </c>
      <c r="B16" s="146" t="s">
        <v>69</v>
      </c>
      <c r="C16" s="63" t="s">
        <v>70</v>
      </c>
      <c r="D16" s="90" t="s">
        <v>185</v>
      </c>
      <c r="E16" s="63"/>
      <c r="F16" s="63" t="s">
        <v>159</v>
      </c>
      <c r="G16" s="63" t="s">
        <v>160</v>
      </c>
      <c r="H16" s="61" t="s">
        <v>74</v>
      </c>
      <c r="I16" s="61" t="s">
        <v>75</v>
      </c>
      <c r="J16" s="65"/>
      <c r="K16" s="65"/>
      <c r="L16" s="65"/>
      <c r="M16" s="66"/>
      <c r="N16" s="67" t="str">
        <f t="shared" ref="N16:N18" si="1">IF(OR(IF(M16="",IF(L16="",IF(K16="","",K16), L16),M16)="F")=TRUE,"F",
IF(OR( IF(M16="",IF(L16="",IF(K16="","",K16), L16),M16)="PE")=TRUE,"PE",
IF(AND(IF(M16="",IF(L16="",IF(K16="","",K16), L16),M16)="")=TRUE,"","P")))</f>
        <v/>
      </c>
      <c r="O16" s="68"/>
      <c r="P16" s="68"/>
      <c r="Q16" s="48"/>
      <c r="R16" s="48"/>
      <c r="S16" s="48"/>
      <c r="T16" s="48"/>
      <c r="U16" s="48"/>
      <c r="V16" s="48"/>
      <c r="W16" s="48"/>
      <c r="X16" s="48"/>
      <c r="Y16" s="48"/>
      <c r="Z16" s="48"/>
      <c r="AA16" s="48"/>
      <c r="AB16" s="48"/>
      <c r="AC16" s="48"/>
      <c r="AD16" s="48"/>
    </row>
    <row r="17" spans="1:30" ht="47.25" outlineLevel="2">
      <c r="A17" s="61" t="str">
        <f t="shared" si="0"/>
        <v>AU3_2</v>
      </c>
      <c r="B17" s="141"/>
      <c r="C17" s="63" t="s">
        <v>76</v>
      </c>
      <c r="D17" s="68" t="s">
        <v>77</v>
      </c>
      <c r="E17" s="63"/>
      <c r="F17" s="63" t="s">
        <v>161</v>
      </c>
      <c r="G17" s="63" t="s">
        <v>160</v>
      </c>
      <c r="H17" s="65" t="s">
        <v>74</v>
      </c>
      <c r="I17" s="65" t="s">
        <v>75</v>
      </c>
      <c r="J17" s="65"/>
      <c r="K17" s="65"/>
      <c r="L17" s="65"/>
      <c r="M17" s="66"/>
      <c r="N17" s="67" t="str">
        <f t="shared" si="1"/>
        <v/>
      </c>
      <c r="O17" s="68"/>
      <c r="P17" s="68"/>
      <c r="Q17" s="48"/>
      <c r="R17" s="48"/>
      <c r="S17" s="48"/>
      <c r="T17" s="48"/>
      <c r="U17" s="48"/>
      <c r="V17" s="48"/>
      <c r="W17" s="48"/>
      <c r="X17" s="48"/>
      <c r="Y17" s="48"/>
      <c r="Z17" s="48"/>
      <c r="AA17" s="48"/>
      <c r="AB17" s="48"/>
      <c r="AC17" s="48"/>
      <c r="AD17" s="48"/>
    </row>
    <row r="18" spans="1:30" ht="110.25" outlineLevel="2">
      <c r="A18" s="61" t="str">
        <f t="shared" si="0"/>
        <v>AU3_3</v>
      </c>
      <c r="B18" s="141"/>
      <c r="C18" s="69" t="s">
        <v>186</v>
      </c>
      <c r="D18" s="70" t="s">
        <v>187</v>
      </c>
      <c r="E18" s="69"/>
      <c r="F18" s="69" t="s">
        <v>164</v>
      </c>
      <c r="G18" s="69" t="s">
        <v>188</v>
      </c>
      <c r="H18" s="71" t="s">
        <v>83</v>
      </c>
      <c r="I18" s="71" t="s">
        <v>75</v>
      </c>
      <c r="J18" s="71"/>
      <c r="K18" s="72"/>
      <c r="L18" s="72"/>
      <c r="M18" s="73"/>
      <c r="N18" s="74" t="str">
        <f t="shared" si="1"/>
        <v/>
      </c>
      <c r="O18" s="70"/>
      <c r="P18" s="70"/>
      <c r="Q18" s="48"/>
      <c r="R18" s="48"/>
      <c r="S18" s="48"/>
      <c r="T18" s="48"/>
      <c r="U18" s="48"/>
      <c r="V18" s="48"/>
      <c r="W18" s="48"/>
      <c r="X18" s="48"/>
      <c r="Y18" s="48"/>
      <c r="Z18" s="48"/>
      <c r="AA18" s="48"/>
      <c r="AB18" s="48"/>
      <c r="AC18" s="48"/>
      <c r="AD18" s="48"/>
    </row>
    <row r="19" spans="1:30" ht="110.25" outlineLevel="2">
      <c r="A19" s="61" t="str">
        <f t="shared" si="0"/>
        <v>AU3_4</v>
      </c>
      <c r="B19" s="143" t="s">
        <v>84</v>
      </c>
      <c r="C19" s="63" t="s">
        <v>85</v>
      </c>
      <c r="D19" s="68" t="s">
        <v>189</v>
      </c>
      <c r="E19" s="63"/>
      <c r="F19" s="69" t="s">
        <v>87</v>
      </c>
      <c r="G19" s="69" t="s">
        <v>188</v>
      </c>
      <c r="H19" s="71" t="s">
        <v>83</v>
      </c>
      <c r="I19" s="71" t="s">
        <v>75</v>
      </c>
      <c r="J19" s="65"/>
      <c r="K19" s="65"/>
      <c r="L19" s="65"/>
      <c r="M19" s="68"/>
      <c r="N19" s="67"/>
      <c r="O19" s="68"/>
      <c r="P19" s="68"/>
      <c r="Q19" s="75"/>
      <c r="R19" s="75"/>
      <c r="S19" s="75"/>
      <c r="T19" s="75"/>
      <c r="U19" s="75"/>
      <c r="V19" s="75"/>
      <c r="W19" s="75"/>
      <c r="X19" s="75"/>
      <c r="Y19" s="75"/>
      <c r="Z19" s="75"/>
      <c r="AA19" s="75"/>
      <c r="AB19" s="75"/>
      <c r="AC19" s="75"/>
      <c r="AD19" s="75"/>
    </row>
    <row r="20" spans="1:30" ht="110.25" outlineLevel="2">
      <c r="A20" s="61" t="str">
        <f t="shared" si="0"/>
        <v>AU3_5</v>
      </c>
      <c r="B20" s="142"/>
      <c r="C20" s="63" t="s">
        <v>88</v>
      </c>
      <c r="D20" s="68" t="s">
        <v>190</v>
      </c>
      <c r="E20" s="63"/>
      <c r="F20" s="69" t="s">
        <v>90</v>
      </c>
      <c r="G20" s="63" t="s">
        <v>160</v>
      </c>
      <c r="H20" s="65" t="s">
        <v>74</v>
      </c>
      <c r="I20" s="65" t="s">
        <v>75</v>
      </c>
      <c r="J20" s="65"/>
      <c r="K20" s="65"/>
      <c r="L20" s="65"/>
      <c r="M20" s="68"/>
      <c r="N20" s="67"/>
      <c r="O20" s="68"/>
      <c r="P20" s="68"/>
      <c r="Q20" s="75"/>
      <c r="R20" s="75"/>
      <c r="S20" s="75"/>
      <c r="T20" s="75"/>
      <c r="U20" s="75"/>
      <c r="V20" s="75"/>
      <c r="W20" s="75"/>
      <c r="X20" s="75"/>
      <c r="Y20" s="75"/>
      <c r="Z20" s="75"/>
      <c r="AA20" s="75"/>
      <c r="AB20" s="75"/>
      <c r="AC20" s="75"/>
      <c r="AD20" s="75"/>
    </row>
    <row r="21" spans="1:30" ht="15.75" customHeight="1" outlineLevel="1">
      <c r="A21" s="61" t="str">
        <f t="shared" si="0"/>
        <v/>
      </c>
      <c r="B21" s="135" t="s">
        <v>91</v>
      </c>
      <c r="C21" s="136"/>
      <c r="D21" s="136"/>
      <c r="E21" s="136"/>
      <c r="F21" s="136"/>
      <c r="G21" s="136"/>
      <c r="H21" s="136"/>
      <c r="I21" s="136"/>
      <c r="J21" s="136"/>
      <c r="K21" s="136"/>
      <c r="L21" s="136"/>
      <c r="M21" s="136"/>
      <c r="N21" s="136"/>
      <c r="O21" s="136"/>
      <c r="P21" s="137"/>
      <c r="Q21" s="48"/>
      <c r="R21" s="48"/>
      <c r="S21" s="48"/>
      <c r="T21" s="48"/>
      <c r="U21" s="48"/>
      <c r="V21" s="48"/>
      <c r="W21" s="48"/>
      <c r="X21" s="48"/>
      <c r="Y21" s="48"/>
      <c r="Z21" s="48"/>
      <c r="AA21" s="48"/>
      <c r="AB21" s="48"/>
      <c r="AC21" s="48"/>
      <c r="AD21" s="48"/>
    </row>
    <row r="22" spans="1:30" ht="15.75" customHeight="1" outlineLevel="2">
      <c r="A22" s="61" t="str">
        <f t="shared" si="0"/>
        <v/>
      </c>
      <c r="B22" s="152" t="s">
        <v>191</v>
      </c>
      <c r="C22" s="121"/>
      <c r="D22" s="121"/>
      <c r="E22" s="121"/>
      <c r="F22" s="121"/>
      <c r="G22" s="121"/>
      <c r="H22" s="121"/>
      <c r="I22" s="121"/>
      <c r="J22" s="121"/>
      <c r="K22" s="121"/>
      <c r="L22" s="121"/>
      <c r="M22" s="121"/>
      <c r="N22" s="121"/>
      <c r="O22" s="121"/>
      <c r="P22" s="122"/>
      <c r="Q22" s="75"/>
      <c r="R22" s="75"/>
      <c r="S22" s="75"/>
      <c r="T22" s="75"/>
      <c r="U22" s="48"/>
      <c r="V22" s="48"/>
      <c r="W22" s="48"/>
      <c r="X22" s="48"/>
      <c r="Y22" s="48"/>
      <c r="Z22" s="48"/>
      <c r="AA22" s="48"/>
      <c r="AB22" s="48"/>
      <c r="AC22" s="48"/>
      <c r="AD22" s="48"/>
    </row>
    <row r="23" spans="1:30" ht="15.75" customHeight="1" outlineLevel="3">
      <c r="A23" s="61" t="str">
        <f t="shared" si="0"/>
        <v>AU3_6</v>
      </c>
      <c r="B23" s="144" t="s">
        <v>191</v>
      </c>
      <c r="C23" s="63" t="s">
        <v>192</v>
      </c>
      <c r="D23" s="70" t="s">
        <v>193</v>
      </c>
      <c r="E23" s="63"/>
      <c r="F23" s="63" t="s">
        <v>194</v>
      </c>
      <c r="G23" s="68" t="s">
        <v>195</v>
      </c>
      <c r="H23" s="65" t="s">
        <v>74</v>
      </c>
      <c r="I23" s="65" t="s">
        <v>75</v>
      </c>
      <c r="J23" s="65"/>
      <c r="K23" s="65"/>
      <c r="L23" s="65"/>
      <c r="M23" s="66"/>
      <c r="N23" s="67" t="str">
        <f t="shared" ref="N23:N29" si="2">IF(OR(IF(M23="",IF(L23="",IF(K23="","",K23), L23),M23)="F")=TRUE,"F",
IF(OR( IF(M23="",IF(L23="",IF(K23="","",K23), L23),M23)="PE")=TRUE,"PE",
IF(AND(IF(M23="",IF(L23="",IF(K23="","",K23), L23),M23)="")=TRUE,"","P")))</f>
        <v/>
      </c>
      <c r="O23" s="68"/>
      <c r="P23" s="68"/>
      <c r="Q23" s="75"/>
      <c r="R23" s="75"/>
      <c r="S23" s="75"/>
      <c r="T23" s="75"/>
      <c r="U23" s="48"/>
      <c r="V23" s="48"/>
      <c r="W23" s="48"/>
      <c r="X23" s="48"/>
      <c r="Y23" s="48"/>
      <c r="Z23" s="48"/>
      <c r="AA23" s="48"/>
      <c r="AB23" s="48"/>
      <c r="AC23" s="48"/>
      <c r="AD23" s="48"/>
    </row>
    <row r="24" spans="1:30" ht="15.75" customHeight="1" outlineLevel="3">
      <c r="A24" s="61" t="str">
        <f t="shared" si="0"/>
        <v>AU3_7</v>
      </c>
      <c r="B24" s="141"/>
      <c r="C24" s="63" t="s">
        <v>196</v>
      </c>
      <c r="D24" s="70" t="s">
        <v>197</v>
      </c>
      <c r="E24" s="63"/>
      <c r="F24" s="63" t="s">
        <v>198</v>
      </c>
      <c r="G24" s="68" t="s">
        <v>195</v>
      </c>
      <c r="H24" s="65" t="s">
        <v>74</v>
      </c>
      <c r="I24" s="65" t="s">
        <v>75</v>
      </c>
      <c r="J24" s="65"/>
      <c r="K24" s="65"/>
      <c r="L24" s="65"/>
      <c r="M24" s="66"/>
      <c r="N24" s="67" t="str">
        <f t="shared" si="2"/>
        <v/>
      </c>
      <c r="O24" s="68"/>
      <c r="P24" s="68"/>
      <c r="Q24" s="75"/>
      <c r="R24" s="75"/>
      <c r="S24" s="75"/>
      <c r="T24" s="75"/>
      <c r="U24" s="48"/>
      <c r="V24" s="48"/>
      <c r="W24" s="48"/>
      <c r="X24" s="48"/>
      <c r="Y24" s="48"/>
      <c r="Z24" s="48"/>
      <c r="AA24" s="48"/>
      <c r="AB24" s="48"/>
      <c r="AC24" s="48"/>
      <c r="AD24" s="48"/>
    </row>
    <row r="25" spans="1:30" ht="15.75" customHeight="1" outlineLevel="3">
      <c r="A25" s="61" t="str">
        <f t="shared" si="0"/>
        <v>AU3_8</v>
      </c>
      <c r="B25" s="141"/>
      <c r="C25" s="63" t="s">
        <v>199</v>
      </c>
      <c r="D25" s="70" t="s">
        <v>200</v>
      </c>
      <c r="E25" s="63"/>
      <c r="F25" s="63" t="s">
        <v>198</v>
      </c>
      <c r="G25" s="68" t="s">
        <v>195</v>
      </c>
      <c r="H25" s="65" t="s">
        <v>74</v>
      </c>
      <c r="I25" s="65" t="s">
        <v>75</v>
      </c>
      <c r="J25" s="65"/>
      <c r="K25" s="65"/>
      <c r="L25" s="65"/>
      <c r="M25" s="66"/>
      <c r="N25" s="67" t="str">
        <f t="shared" si="2"/>
        <v/>
      </c>
      <c r="O25" s="68"/>
      <c r="P25" s="68"/>
      <c r="Q25" s="75"/>
      <c r="R25" s="75"/>
      <c r="S25" s="75"/>
      <c r="T25" s="75"/>
      <c r="U25" s="48"/>
      <c r="V25" s="48"/>
      <c r="W25" s="48"/>
      <c r="X25" s="48"/>
      <c r="Y25" s="48"/>
      <c r="Z25" s="48"/>
      <c r="AA25" s="48"/>
      <c r="AB25" s="48"/>
      <c r="AC25" s="48"/>
      <c r="AD25" s="48"/>
    </row>
    <row r="26" spans="1:30" ht="15.75" customHeight="1" outlineLevel="3">
      <c r="A26" s="61" t="str">
        <f t="shared" si="0"/>
        <v>AU3_9</v>
      </c>
      <c r="B26" s="141"/>
      <c r="C26" s="63" t="s">
        <v>201</v>
      </c>
      <c r="D26" s="70" t="s">
        <v>202</v>
      </c>
      <c r="E26" s="63"/>
      <c r="F26" s="63" t="s">
        <v>198</v>
      </c>
      <c r="G26" s="68" t="s">
        <v>203</v>
      </c>
      <c r="H26" s="65" t="s">
        <v>74</v>
      </c>
      <c r="I26" s="65" t="s">
        <v>75</v>
      </c>
      <c r="J26" s="65"/>
      <c r="K26" s="65"/>
      <c r="L26" s="65"/>
      <c r="M26" s="66"/>
      <c r="N26" s="67" t="str">
        <f t="shared" si="2"/>
        <v/>
      </c>
      <c r="O26" s="68"/>
      <c r="P26" s="68"/>
      <c r="Q26" s="75"/>
      <c r="R26" s="75"/>
      <c r="S26" s="75"/>
      <c r="T26" s="75"/>
      <c r="U26" s="48"/>
      <c r="V26" s="48"/>
      <c r="W26" s="48"/>
      <c r="X26" s="48"/>
      <c r="Y26" s="48"/>
      <c r="Z26" s="48"/>
      <c r="AA26" s="48"/>
      <c r="AB26" s="48"/>
      <c r="AC26" s="48"/>
      <c r="AD26" s="48"/>
    </row>
    <row r="27" spans="1:30" ht="15.75" customHeight="1" outlineLevel="3">
      <c r="A27" s="61" t="str">
        <f t="shared" si="0"/>
        <v>AU3_10</v>
      </c>
      <c r="B27" s="141"/>
      <c r="C27" s="63" t="s">
        <v>204</v>
      </c>
      <c r="D27" s="70" t="s">
        <v>187</v>
      </c>
      <c r="E27" s="63"/>
      <c r="F27" s="63" t="s">
        <v>198</v>
      </c>
      <c r="G27" s="69" t="s">
        <v>188</v>
      </c>
      <c r="H27" s="65" t="s">
        <v>83</v>
      </c>
      <c r="I27" s="65" t="s">
        <v>75</v>
      </c>
      <c r="J27" s="65"/>
      <c r="K27" s="65"/>
      <c r="L27" s="65"/>
      <c r="M27" s="66"/>
      <c r="N27" s="67" t="str">
        <f t="shared" si="2"/>
        <v/>
      </c>
      <c r="O27" s="68"/>
      <c r="P27" s="68"/>
      <c r="Q27" s="75"/>
      <c r="R27" s="75"/>
      <c r="S27" s="75"/>
      <c r="T27" s="75"/>
      <c r="U27" s="48"/>
      <c r="V27" s="48"/>
      <c r="W27" s="48"/>
      <c r="X27" s="48"/>
      <c r="Y27" s="48"/>
      <c r="Z27" s="48"/>
      <c r="AA27" s="48"/>
      <c r="AB27" s="48"/>
      <c r="AC27" s="48"/>
      <c r="AD27" s="48"/>
    </row>
    <row r="28" spans="1:30" ht="15.75" customHeight="1" outlineLevel="3">
      <c r="A28" s="61" t="str">
        <f t="shared" si="0"/>
        <v>AU3_11</v>
      </c>
      <c r="B28" s="141"/>
      <c r="C28" s="63" t="s">
        <v>205</v>
      </c>
      <c r="D28" s="70" t="s">
        <v>206</v>
      </c>
      <c r="E28" s="63"/>
      <c r="F28" s="63" t="s">
        <v>198</v>
      </c>
      <c r="G28" s="68" t="s">
        <v>203</v>
      </c>
      <c r="H28" s="65" t="s">
        <v>74</v>
      </c>
      <c r="I28" s="65" t="s">
        <v>75</v>
      </c>
      <c r="J28" s="65"/>
      <c r="K28" s="65"/>
      <c r="L28" s="65"/>
      <c r="M28" s="66"/>
      <c r="N28" s="67" t="str">
        <f t="shared" si="2"/>
        <v/>
      </c>
      <c r="O28" s="68"/>
      <c r="P28" s="68"/>
      <c r="Q28" s="75"/>
      <c r="R28" s="75"/>
      <c r="S28" s="75"/>
      <c r="T28" s="75"/>
      <c r="U28" s="48"/>
      <c r="V28" s="48"/>
      <c r="W28" s="48"/>
      <c r="X28" s="48"/>
      <c r="Y28" s="48"/>
      <c r="Z28" s="48"/>
      <c r="AA28" s="48"/>
      <c r="AB28" s="48"/>
      <c r="AC28" s="48"/>
      <c r="AD28" s="48"/>
    </row>
    <row r="29" spans="1:30" ht="15.75" customHeight="1" outlineLevel="3">
      <c r="A29" s="61" t="str">
        <f t="shared" si="0"/>
        <v>AU3_12</v>
      </c>
      <c r="B29" s="142"/>
      <c r="C29" s="63" t="s">
        <v>207</v>
      </c>
      <c r="D29" s="70" t="s">
        <v>208</v>
      </c>
      <c r="E29" s="63"/>
      <c r="F29" s="63" t="s">
        <v>198</v>
      </c>
      <c r="G29" s="68" t="s">
        <v>203</v>
      </c>
      <c r="H29" s="65" t="s">
        <v>74</v>
      </c>
      <c r="I29" s="65" t="s">
        <v>75</v>
      </c>
      <c r="J29" s="65"/>
      <c r="K29" s="65"/>
      <c r="L29" s="65"/>
      <c r="M29" s="66"/>
      <c r="N29" s="67" t="str">
        <f t="shared" si="2"/>
        <v/>
      </c>
      <c r="O29" s="68"/>
      <c r="P29" s="68"/>
      <c r="Q29" s="75"/>
      <c r="R29" s="75"/>
      <c r="S29" s="75"/>
      <c r="T29" s="75"/>
      <c r="U29" s="48"/>
      <c r="V29" s="48"/>
      <c r="W29" s="48"/>
      <c r="X29" s="48"/>
      <c r="Y29" s="48"/>
      <c r="Z29" s="48"/>
      <c r="AA29" s="48"/>
      <c r="AB29" s="48"/>
      <c r="AC29" s="48"/>
      <c r="AD29" s="48"/>
    </row>
    <row r="30" spans="1:30" ht="15.75" customHeight="1">
      <c r="A30" s="61" t="str">
        <f t="shared" si="0"/>
        <v/>
      </c>
      <c r="B30" s="133" t="s">
        <v>130</v>
      </c>
      <c r="C30" s="121"/>
      <c r="D30" s="121"/>
      <c r="E30" s="121"/>
      <c r="F30" s="121"/>
      <c r="G30" s="121"/>
      <c r="H30" s="121"/>
      <c r="I30" s="121"/>
      <c r="J30" s="121"/>
      <c r="K30" s="121"/>
      <c r="L30" s="121"/>
      <c r="M30" s="121"/>
      <c r="N30" s="121"/>
      <c r="O30" s="121"/>
      <c r="P30" s="122"/>
      <c r="Q30" s="48"/>
      <c r="R30" s="48"/>
      <c r="S30" s="48"/>
      <c r="T30" s="48"/>
      <c r="U30" s="48"/>
      <c r="V30" s="48"/>
      <c r="W30" s="48"/>
      <c r="X30" s="48"/>
      <c r="Y30" s="48"/>
      <c r="Z30" s="48"/>
      <c r="AA30" s="48"/>
      <c r="AB30" s="48"/>
      <c r="AC30" s="48"/>
      <c r="AD30" s="48"/>
    </row>
    <row r="31" spans="1:30" ht="15.75" customHeight="1" outlineLevel="1">
      <c r="A31" s="61" t="str">
        <f t="shared" si="0"/>
        <v>AU3_13</v>
      </c>
      <c r="B31" s="62" t="s">
        <v>131</v>
      </c>
      <c r="C31" s="68" t="s">
        <v>209</v>
      </c>
      <c r="D31" s="70" t="s">
        <v>187</v>
      </c>
      <c r="E31" s="63"/>
      <c r="F31" s="68" t="s">
        <v>133</v>
      </c>
      <c r="G31" s="69" t="s">
        <v>188</v>
      </c>
      <c r="H31" s="65" t="s">
        <v>83</v>
      </c>
      <c r="I31" s="65" t="s">
        <v>75</v>
      </c>
      <c r="J31" s="65"/>
      <c r="K31" s="65"/>
      <c r="L31" s="65"/>
      <c r="M31" s="66"/>
      <c r="N31" s="67" t="str">
        <f t="shared" ref="N31:N35" si="3">IF(OR(IF(M31="",IF(L31="",IF(K31="","",K31), L31),M31)="F")=TRUE,"F",
IF(OR( IF(M31="",IF(L31="",IF(K31="","",K31), L31),M31)="PE")=TRUE,"PE",
IF(AND(IF(M31="",IF(L31="",IF(K31="","",K31), L31),M31)="")=TRUE,"","P")))</f>
        <v/>
      </c>
      <c r="O31" s="68"/>
      <c r="P31" s="68"/>
      <c r="Q31" s="48"/>
      <c r="R31" s="48"/>
      <c r="S31" s="48"/>
      <c r="T31" s="48"/>
      <c r="U31" s="48"/>
      <c r="V31" s="48"/>
      <c r="W31" s="48"/>
      <c r="X31" s="48"/>
      <c r="Y31" s="48"/>
      <c r="Z31" s="48"/>
      <c r="AA31" s="48"/>
      <c r="AB31" s="48"/>
      <c r="AC31" s="48"/>
      <c r="AD31" s="48"/>
    </row>
    <row r="32" spans="1:30" ht="15.75" customHeight="1" outlineLevel="1">
      <c r="A32" s="61" t="str">
        <f t="shared" si="0"/>
        <v>AU3_14</v>
      </c>
      <c r="B32" s="154" t="s">
        <v>134</v>
      </c>
      <c r="C32" s="68" t="s">
        <v>210</v>
      </c>
      <c r="D32" s="70" t="s">
        <v>206</v>
      </c>
      <c r="E32" s="63"/>
      <c r="F32" s="68" t="s">
        <v>133</v>
      </c>
      <c r="G32" s="68" t="s">
        <v>203</v>
      </c>
      <c r="H32" s="65" t="s">
        <v>83</v>
      </c>
      <c r="I32" s="65" t="s">
        <v>75</v>
      </c>
      <c r="J32" s="65"/>
      <c r="K32" s="65"/>
      <c r="L32" s="65"/>
      <c r="M32" s="66"/>
      <c r="N32" s="67" t="str">
        <f t="shared" si="3"/>
        <v/>
      </c>
      <c r="O32" s="68"/>
      <c r="P32" s="68"/>
      <c r="Q32" s="48"/>
      <c r="R32" s="48"/>
      <c r="S32" s="48"/>
      <c r="T32" s="48"/>
      <c r="U32" s="48"/>
      <c r="V32" s="48"/>
      <c r="W32" s="48"/>
      <c r="X32" s="48"/>
      <c r="Y32" s="48"/>
      <c r="Z32" s="48"/>
      <c r="AA32" s="48"/>
      <c r="AB32" s="48"/>
      <c r="AC32" s="48"/>
      <c r="AD32" s="48"/>
    </row>
    <row r="33" spans="1:30" ht="15.75" customHeight="1" outlineLevel="1">
      <c r="A33" s="61" t="str">
        <f t="shared" si="0"/>
        <v>AU3_15</v>
      </c>
      <c r="B33" s="142"/>
      <c r="C33" s="68" t="s">
        <v>140</v>
      </c>
      <c r="D33" s="70" t="s">
        <v>206</v>
      </c>
      <c r="E33" s="63"/>
      <c r="F33" s="68" t="s">
        <v>133</v>
      </c>
      <c r="G33" s="68" t="s">
        <v>203</v>
      </c>
      <c r="H33" s="65" t="s">
        <v>83</v>
      </c>
      <c r="I33" s="65" t="s">
        <v>75</v>
      </c>
      <c r="J33" s="65"/>
      <c r="K33" s="65"/>
      <c r="L33" s="65"/>
      <c r="M33" s="66"/>
      <c r="N33" s="67" t="str">
        <f t="shared" si="3"/>
        <v/>
      </c>
      <c r="O33" s="68"/>
      <c r="P33" s="68"/>
      <c r="Q33" s="48"/>
      <c r="R33" s="48"/>
      <c r="S33" s="48"/>
      <c r="T33" s="48"/>
      <c r="U33" s="48"/>
      <c r="V33" s="48"/>
      <c r="W33" s="48"/>
      <c r="X33" s="48"/>
      <c r="Y33" s="48"/>
      <c r="Z33" s="48"/>
      <c r="AA33" s="48"/>
      <c r="AB33" s="48"/>
      <c r="AC33" s="48"/>
      <c r="AD33" s="48"/>
    </row>
    <row r="34" spans="1:30" ht="15.75" customHeight="1" outlineLevel="1">
      <c r="A34" s="61" t="str">
        <f t="shared" si="0"/>
        <v>AU3_16</v>
      </c>
      <c r="B34" s="153" t="s">
        <v>143</v>
      </c>
      <c r="C34" s="68" t="s">
        <v>211</v>
      </c>
      <c r="D34" s="70" t="s">
        <v>187</v>
      </c>
      <c r="E34" s="63"/>
      <c r="F34" s="68" t="s">
        <v>212</v>
      </c>
      <c r="G34" s="69" t="s">
        <v>188</v>
      </c>
      <c r="H34" s="65" t="s">
        <v>83</v>
      </c>
      <c r="I34" s="65" t="s">
        <v>75</v>
      </c>
      <c r="J34" s="65"/>
      <c r="K34" s="65"/>
      <c r="L34" s="65"/>
      <c r="M34" s="66"/>
      <c r="N34" s="67" t="str">
        <f t="shared" si="3"/>
        <v/>
      </c>
      <c r="O34" s="68"/>
      <c r="P34" s="68"/>
      <c r="Q34" s="48"/>
      <c r="R34" s="48"/>
      <c r="S34" s="48"/>
      <c r="T34" s="48"/>
      <c r="U34" s="48"/>
      <c r="V34" s="48"/>
      <c r="W34" s="48"/>
      <c r="X34" s="48"/>
      <c r="Y34" s="48"/>
      <c r="Z34" s="48"/>
      <c r="AA34" s="48"/>
      <c r="AB34" s="48"/>
      <c r="AC34" s="48"/>
      <c r="AD34" s="48"/>
    </row>
    <row r="35" spans="1:30" ht="15.75" customHeight="1" outlineLevel="1">
      <c r="A35" s="61" t="str">
        <f t="shared" si="0"/>
        <v>AU3_17</v>
      </c>
      <c r="B35" s="141"/>
      <c r="C35" s="68" t="s">
        <v>213</v>
      </c>
      <c r="D35" s="70" t="s">
        <v>187</v>
      </c>
      <c r="E35" s="63"/>
      <c r="F35" s="68" t="s">
        <v>214</v>
      </c>
      <c r="G35" s="68" t="s">
        <v>151</v>
      </c>
      <c r="H35" s="65" t="s">
        <v>83</v>
      </c>
      <c r="I35" s="65" t="s">
        <v>75</v>
      </c>
      <c r="J35" s="65"/>
      <c r="K35" s="65"/>
      <c r="L35" s="65"/>
      <c r="M35" s="66"/>
      <c r="N35" s="67" t="str">
        <f t="shared" si="3"/>
        <v/>
      </c>
      <c r="O35" s="68"/>
      <c r="P35" s="68"/>
      <c r="Q35" s="48"/>
      <c r="R35" s="48"/>
      <c r="S35" s="48"/>
      <c r="T35" s="48"/>
      <c r="U35" s="48"/>
      <c r="V35" s="48"/>
      <c r="W35" s="48"/>
      <c r="X35" s="48"/>
      <c r="Y35" s="48"/>
      <c r="Z35" s="48"/>
      <c r="AA35" s="48"/>
      <c r="AB35" s="48"/>
      <c r="AC35" s="48"/>
      <c r="AD35" s="48"/>
    </row>
    <row r="36" spans="1:30" ht="15.75" customHeight="1">
      <c r="A36" s="61" t="str">
        <f t="shared" si="0"/>
        <v/>
      </c>
      <c r="B36" s="133" t="s">
        <v>152</v>
      </c>
      <c r="C36" s="121"/>
      <c r="D36" s="121"/>
      <c r="E36" s="121"/>
      <c r="F36" s="121"/>
      <c r="G36" s="121"/>
      <c r="H36" s="121"/>
      <c r="I36" s="121"/>
      <c r="J36" s="121"/>
      <c r="K36" s="121"/>
      <c r="L36" s="121"/>
      <c r="M36" s="121"/>
      <c r="N36" s="121"/>
      <c r="O36" s="121"/>
      <c r="P36" s="122"/>
      <c r="Q36" s="48"/>
      <c r="R36" s="48"/>
      <c r="S36" s="48"/>
      <c r="T36" s="48"/>
      <c r="U36" s="48"/>
      <c r="V36" s="48"/>
      <c r="W36" s="48"/>
      <c r="X36" s="48"/>
      <c r="Y36" s="48"/>
      <c r="Z36" s="48"/>
      <c r="AA36" s="48"/>
      <c r="AB36" s="48"/>
      <c r="AC36" s="48"/>
      <c r="AD36" s="48"/>
    </row>
    <row r="37" spans="1:30" ht="15.75" customHeight="1" outlineLevel="1">
      <c r="A37" s="61" t="str">
        <f t="shared" si="0"/>
        <v/>
      </c>
      <c r="B37" s="68" t="s">
        <v>153</v>
      </c>
      <c r="C37" s="68"/>
      <c r="D37" s="68"/>
      <c r="E37" s="63"/>
      <c r="F37" s="63"/>
      <c r="G37" s="63"/>
      <c r="H37" s="63"/>
      <c r="I37" s="63"/>
      <c r="J37" s="63"/>
      <c r="K37" s="65"/>
      <c r="L37" s="65"/>
      <c r="M37" s="66"/>
      <c r="N37" s="67" t="str">
        <f>IF(OR(IF(M37="",IF(L37="",IF(K37="","",K37), L37),M37)="F")=TRUE,"F",
IF(OR( IF(M37="",IF(L37="",IF(K37="","",K37), L37),M37)="PE")=TRUE,"PE",
IF(AND(IF(M37="",IF(L37="",IF(K37="","",K37), L37),M37)="")=TRUE,"","P")))</f>
        <v/>
      </c>
      <c r="O37" s="63"/>
      <c r="P37" s="63"/>
      <c r="Q37" s="48"/>
      <c r="R37" s="48"/>
      <c r="S37" s="48"/>
      <c r="T37" s="48"/>
      <c r="U37" s="48"/>
      <c r="V37" s="48"/>
      <c r="W37" s="48"/>
      <c r="X37" s="48"/>
      <c r="Y37" s="48"/>
      <c r="Z37" s="48"/>
      <c r="AA37" s="48"/>
      <c r="AB37" s="48"/>
      <c r="AC37" s="48"/>
      <c r="AD37" s="48"/>
    </row>
    <row r="38" spans="1:30" ht="15.75" customHeight="1">
      <c r="A38" s="61" t="str">
        <f t="shared" si="0"/>
        <v/>
      </c>
      <c r="B38" s="133" t="s">
        <v>154</v>
      </c>
      <c r="C38" s="121"/>
      <c r="D38" s="121"/>
      <c r="E38" s="121"/>
      <c r="F38" s="121"/>
      <c r="G38" s="121"/>
      <c r="H38" s="121"/>
      <c r="I38" s="121"/>
      <c r="J38" s="121"/>
      <c r="K38" s="121"/>
      <c r="L38" s="121"/>
      <c r="M38" s="121"/>
      <c r="N38" s="121"/>
      <c r="O38" s="121"/>
      <c r="P38" s="122"/>
      <c r="Q38" s="48"/>
      <c r="R38" s="48"/>
      <c r="S38" s="48"/>
      <c r="T38" s="48"/>
      <c r="U38" s="48"/>
      <c r="V38" s="48"/>
      <c r="W38" s="48"/>
      <c r="X38" s="48"/>
      <c r="Y38" s="48"/>
      <c r="Z38" s="48"/>
      <c r="AA38" s="48"/>
      <c r="AB38" s="48"/>
      <c r="AC38" s="48"/>
      <c r="AD38" s="48"/>
    </row>
    <row r="39" spans="1:30" ht="15.75" customHeight="1" outlineLevel="1">
      <c r="A39" s="61" t="str">
        <f t="shared" si="0"/>
        <v/>
      </c>
      <c r="B39" s="68" t="s">
        <v>153</v>
      </c>
      <c r="C39" s="68"/>
      <c r="D39" s="68"/>
      <c r="E39" s="63"/>
      <c r="F39" s="63"/>
      <c r="G39" s="68"/>
      <c r="H39" s="68"/>
      <c r="I39" s="68"/>
      <c r="J39" s="68"/>
      <c r="K39" s="65"/>
      <c r="L39" s="65"/>
      <c r="M39" s="66"/>
      <c r="N39" s="67" t="str">
        <f>IF(OR(IF(M39="",IF(L39="",IF(K39="","",K39), L39),M39)="F")=TRUE,"F",
IF(OR( IF(M39="",IF(L39="",IF(K39="","",K39), L39),M39)="PE")=TRUE,"PE",
IF(AND(IF(M39="",IF(L39="",IF(K39="","",K39), L39),M39)="")=TRUE,"","P")))</f>
        <v/>
      </c>
      <c r="O39" s="68"/>
      <c r="P39" s="68"/>
      <c r="Q39" s="48"/>
      <c r="R39" s="48"/>
      <c r="S39" s="48"/>
      <c r="T39" s="48"/>
      <c r="U39" s="48"/>
      <c r="V39" s="48"/>
      <c r="W39" s="48"/>
      <c r="X39" s="48"/>
      <c r="Y39" s="48"/>
      <c r="Z39" s="48"/>
      <c r="AA39" s="48"/>
      <c r="AB39" s="48"/>
      <c r="AC39" s="48"/>
      <c r="AD39" s="48"/>
    </row>
    <row r="40" spans="1:30" ht="15.75" customHeight="1">
      <c r="A40" s="79"/>
      <c r="B40" s="80"/>
      <c r="C40" s="81"/>
      <c r="D40" s="81"/>
      <c r="E40" s="82"/>
      <c r="F40" s="82"/>
      <c r="G40" s="83"/>
      <c r="H40" s="83"/>
      <c r="I40" s="83"/>
      <c r="J40" s="83"/>
      <c r="K40" s="84"/>
      <c r="L40" s="84"/>
      <c r="M40" s="84"/>
      <c r="N40" s="84"/>
      <c r="O40" s="83"/>
      <c r="P40" s="83"/>
      <c r="Q40" s="48"/>
      <c r="R40" s="48"/>
      <c r="S40" s="48"/>
      <c r="T40" s="48"/>
      <c r="U40" s="48"/>
      <c r="V40" s="48"/>
      <c r="W40" s="48"/>
      <c r="X40" s="48"/>
      <c r="Y40" s="48"/>
      <c r="Z40" s="48"/>
      <c r="AA40" s="48"/>
      <c r="AB40" s="48"/>
      <c r="AC40" s="48"/>
      <c r="AD40" s="48"/>
    </row>
    <row r="41" spans="1:30" ht="15.75" customHeight="1">
      <c r="A41" s="83"/>
      <c r="B41" s="132"/>
      <c r="C41" s="129"/>
      <c r="D41" s="129"/>
      <c r="E41" s="129"/>
      <c r="F41" s="130"/>
      <c r="G41" s="83"/>
      <c r="H41" s="83"/>
      <c r="I41" s="83"/>
      <c r="J41" s="83"/>
      <c r="K41" s="84"/>
      <c r="L41" s="84"/>
      <c r="M41" s="84"/>
      <c r="N41" s="84"/>
      <c r="O41" s="83"/>
      <c r="P41" s="83"/>
      <c r="Q41" s="48"/>
      <c r="R41" s="48"/>
      <c r="S41" s="48"/>
      <c r="T41" s="48"/>
      <c r="U41" s="48"/>
      <c r="V41" s="48"/>
      <c r="W41" s="48"/>
      <c r="X41" s="48"/>
      <c r="Y41" s="48"/>
      <c r="Z41" s="48"/>
      <c r="AA41" s="48"/>
      <c r="AB41" s="48"/>
      <c r="AC41" s="48"/>
      <c r="AD41" s="48"/>
    </row>
    <row r="42" spans="1:30" ht="15.75" customHeight="1">
      <c r="A42" s="83"/>
      <c r="B42" s="132"/>
      <c r="C42" s="129"/>
      <c r="D42" s="129"/>
      <c r="E42" s="129"/>
      <c r="F42" s="130"/>
      <c r="G42" s="83"/>
      <c r="H42" s="83"/>
      <c r="I42" s="83"/>
      <c r="J42" s="83"/>
      <c r="K42" s="84"/>
      <c r="L42" s="84"/>
      <c r="M42" s="84"/>
      <c r="N42" s="84"/>
      <c r="O42" s="83"/>
      <c r="P42" s="83"/>
      <c r="Q42" s="48"/>
      <c r="R42" s="48"/>
      <c r="S42" s="48"/>
      <c r="T42" s="48"/>
      <c r="U42" s="48"/>
      <c r="V42" s="48"/>
      <c r="W42" s="48"/>
      <c r="X42" s="48"/>
      <c r="Y42" s="48"/>
      <c r="Z42" s="48"/>
      <c r="AA42" s="48"/>
      <c r="AB42" s="48"/>
      <c r="AC42" s="48"/>
      <c r="AD42" s="48"/>
    </row>
    <row r="43" spans="1:30" ht="15.75" customHeight="1">
      <c r="A43" s="83"/>
      <c r="B43" s="132"/>
      <c r="C43" s="129"/>
      <c r="D43" s="129"/>
      <c r="E43" s="129"/>
      <c r="F43" s="129"/>
      <c r="G43" s="129"/>
      <c r="H43" s="129"/>
      <c r="I43" s="129"/>
      <c r="J43" s="129"/>
      <c r="K43" s="130"/>
      <c r="L43" s="84"/>
      <c r="M43" s="84"/>
      <c r="N43" s="84"/>
      <c r="O43" s="83"/>
      <c r="P43" s="83"/>
      <c r="Q43" s="48"/>
      <c r="R43" s="48"/>
      <c r="S43" s="48"/>
      <c r="T43" s="48"/>
      <c r="U43" s="48"/>
      <c r="V43" s="48"/>
      <c r="W43" s="48"/>
      <c r="X43" s="48"/>
      <c r="Y43" s="48"/>
      <c r="Z43" s="48"/>
      <c r="AA43" s="48"/>
      <c r="AB43" s="48"/>
      <c r="AC43" s="48"/>
      <c r="AD43" s="48"/>
    </row>
    <row r="44" spans="1:30" ht="15.75" customHeight="1">
      <c r="A44" s="83"/>
      <c r="B44" s="132"/>
      <c r="C44" s="129"/>
      <c r="D44" s="129"/>
      <c r="E44" s="129"/>
      <c r="F44" s="130"/>
      <c r="G44" s="83"/>
      <c r="H44" s="83"/>
      <c r="I44" s="83"/>
      <c r="J44" s="83"/>
      <c r="K44" s="84"/>
      <c r="L44" s="84"/>
      <c r="M44" s="84"/>
      <c r="N44" s="84"/>
      <c r="O44" s="83"/>
      <c r="P44" s="83"/>
      <c r="Q44" s="48"/>
      <c r="R44" s="48"/>
      <c r="S44" s="48"/>
      <c r="T44" s="48"/>
      <c r="U44" s="48"/>
      <c r="V44" s="48"/>
      <c r="W44" s="48"/>
      <c r="X44" s="48"/>
      <c r="Y44" s="48"/>
      <c r="Z44" s="48"/>
      <c r="AA44" s="48"/>
      <c r="AB44" s="48"/>
      <c r="AC44" s="48"/>
      <c r="AD44" s="48"/>
    </row>
    <row r="45" spans="1:30" ht="15.75" customHeight="1">
      <c r="A45" s="83"/>
      <c r="B45" s="132"/>
      <c r="C45" s="129"/>
      <c r="D45" s="130"/>
      <c r="E45" s="82"/>
      <c r="F45" s="82"/>
      <c r="G45" s="83"/>
      <c r="H45" s="83"/>
      <c r="I45" s="83"/>
      <c r="J45" s="83"/>
      <c r="K45" s="84"/>
      <c r="L45" s="84"/>
      <c r="M45" s="84"/>
      <c r="N45" s="84"/>
      <c r="O45" s="83"/>
      <c r="P45" s="83"/>
      <c r="Q45" s="48"/>
      <c r="R45" s="48"/>
      <c r="S45" s="48"/>
      <c r="T45" s="48"/>
      <c r="U45" s="48"/>
      <c r="V45" s="48"/>
      <c r="W45" s="48"/>
      <c r="X45" s="48"/>
      <c r="Y45" s="48"/>
      <c r="Z45" s="48"/>
      <c r="AA45" s="48"/>
      <c r="AB45" s="48"/>
      <c r="AC45" s="48"/>
      <c r="AD45" s="48"/>
    </row>
    <row r="46" spans="1:30" ht="15.75" customHeight="1">
      <c r="A46" s="83"/>
      <c r="B46" s="132"/>
      <c r="C46" s="129"/>
      <c r="D46" s="130"/>
      <c r="E46" s="82"/>
      <c r="F46" s="82"/>
      <c r="G46" s="83"/>
      <c r="H46" s="83"/>
      <c r="I46" s="83"/>
      <c r="J46" s="83"/>
      <c r="K46" s="84"/>
      <c r="L46" s="84"/>
      <c r="M46" s="84"/>
      <c r="N46" s="84"/>
      <c r="O46" s="83"/>
      <c r="P46" s="83"/>
      <c r="Q46" s="48"/>
      <c r="R46" s="48"/>
      <c r="S46" s="48"/>
      <c r="T46" s="48"/>
      <c r="U46" s="48"/>
      <c r="V46" s="48"/>
      <c r="W46" s="48"/>
      <c r="X46" s="48"/>
      <c r="Y46" s="48"/>
      <c r="Z46" s="48"/>
      <c r="AA46" s="48"/>
      <c r="AB46" s="48"/>
      <c r="AC46" s="48"/>
      <c r="AD46" s="48"/>
    </row>
    <row r="47" spans="1:30" ht="15.75" customHeight="1">
      <c r="A47" s="85"/>
      <c r="B47" s="48"/>
      <c r="C47" s="48"/>
      <c r="D47" s="48"/>
      <c r="E47" s="48"/>
      <c r="F47" s="48"/>
      <c r="G47" s="48"/>
      <c r="H47" s="48"/>
      <c r="I47" s="48"/>
      <c r="J47" s="48"/>
      <c r="K47" s="50"/>
      <c r="L47" s="48"/>
      <c r="M47" s="48"/>
      <c r="N47" s="50"/>
      <c r="O47" s="48"/>
      <c r="P47" s="48"/>
      <c r="Q47" s="48"/>
      <c r="R47" s="48"/>
      <c r="S47" s="48"/>
      <c r="T47" s="48"/>
      <c r="U47" s="48"/>
      <c r="V47" s="48"/>
      <c r="W47" s="48"/>
      <c r="X47" s="48"/>
      <c r="Y47" s="48"/>
      <c r="Z47" s="48"/>
      <c r="AA47" s="48"/>
      <c r="AB47" s="48"/>
      <c r="AC47" s="48"/>
      <c r="AD47" s="48"/>
    </row>
    <row r="48" spans="1:30" ht="15.75" customHeight="1">
      <c r="A48" s="85"/>
      <c r="B48" s="48"/>
      <c r="C48" s="48"/>
      <c r="D48" s="48"/>
      <c r="E48" s="48"/>
      <c r="F48" s="48"/>
      <c r="G48" s="48"/>
      <c r="H48" s="48"/>
      <c r="I48" s="48"/>
      <c r="J48" s="48"/>
      <c r="K48" s="50"/>
      <c r="L48" s="48"/>
      <c r="M48" s="48"/>
      <c r="N48" s="50"/>
      <c r="O48" s="48"/>
      <c r="P48" s="48"/>
      <c r="Q48" s="48"/>
      <c r="R48" s="48"/>
      <c r="S48" s="48"/>
      <c r="T48" s="48"/>
      <c r="U48" s="48"/>
      <c r="V48" s="48"/>
      <c r="W48" s="48"/>
      <c r="X48" s="48"/>
      <c r="Y48" s="48"/>
      <c r="Z48" s="48"/>
      <c r="AA48" s="48"/>
      <c r="AB48" s="48"/>
      <c r="AC48" s="48"/>
      <c r="AD48" s="48"/>
    </row>
    <row r="49" spans="1:30" ht="15.75" customHeight="1">
      <c r="A49" s="85"/>
      <c r="B49" s="48"/>
      <c r="C49" s="48"/>
      <c r="D49" s="48"/>
      <c r="E49" s="48"/>
      <c r="F49" s="48"/>
      <c r="G49" s="48"/>
      <c r="H49" s="48"/>
      <c r="I49" s="48"/>
      <c r="J49" s="48"/>
      <c r="K49" s="50"/>
      <c r="L49" s="48"/>
      <c r="M49" s="48"/>
      <c r="N49" s="50"/>
      <c r="O49" s="48"/>
      <c r="P49" s="48"/>
      <c r="Q49" s="48"/>
      <c r="R49" s="48"/>
      <c r="S49" s="48"/>
      <c r="T49" s="48"/>
      <c r="U49" s="48"/>
      <c r="V49" s="48"/>
      <c r="W49" s="48"/>
      <c r="X49" s="48"/>
      <c r="Y49" s="48"/>
      <c r="Z49" s="48"/>
      <c r="AA49" s="48"/>
      <c r="AB49" s="48"/>
      <c r="AC49" s="48"/>
      <c r="AD49" s="48"/>
    </row>
    <row r="50" spans="1:30" ht="15.75" customHeight="1">
      <c r="A50" s="85"/>
      <c r="B50" s="48"/>
      <c r="C50" s="48"/>
      <c r="D50" s="48"/>
      <c r="E50" s="48"/>
      <c r="F50" s="48"/>
      <c r="G50" s="48"/>
      <c r="H50" s="48"/>
      <c r="I50" s="48"/>
      <c r="J50" s="48"/>
      <c r="K50" s="50"/>
      <c r="L50" s="48"/>
      <c r="M50" s="48"/>
      <c r="N50" s="50"/>
      <c r="O50" s="48"/>
      <c r="P50" s="48"/>
      <c r="Q50" s="48"/>
      <c r="R50" s="48"/>
      <c r="S50" s="48"/>
      <c r="T50" s="48"/>
      <c r="U50" s="48"/>
      <c r="V50" s="48"/>
      <c r="W50" s="48"/>
      <c r="X50" s="48"/>
      <c r="Y50" s="48"/>
      <c r="Z50" s="48"/>
      <c r="AA50" s="48"/>
      <c r="AB50" s="48"/>
      <c r="AC50" s="48"/>
      <c r="AD50" s="48"/>
    </row>
    <row r="51" spans="1:30" ht="15.75" customHeight="1">
      <c r="A51" s="85"/>
      <c r="B51" s="48"/>
      <c r="C51" s="48"/>
      <c r="D51" s="48"/>
      <c r="E51" s="48"/>
      <c r="F51" s="48"/>
      <c r="G51" s="48"/>
      <c r="H51" s="48"/>
      <c r="I51" s="48"/>
      <c r="J51" s="48"/>
      <c r="K51" s="50"/>
      <c r="L51" s="48"/>
      <c r="M51" s="48"/>
      <c r="N51" s="50"/>
      <c r="O51" s="48"/>
      <c r="P51" s="48"/>
      <c r="Q51" s="48"/>
      <c r="R51" s="48"/>
      <c r="S51" s="48"/>
      <c r="T51" s="48"/>
      <c r="U51" s="48"/>
      <c r="V51" s="48"/>
      <c r="W51" s="48"/>
      <c r="X51" s="48"/>
      <c r="Y51" s="48"/>
      <c r="Z51" s="48"/>
      <c r="AA51" s="48"/>
      <c r="AB51" s="48"/>
      <c r="AC51" s="48"/>
      <c r="AD51" s="48"/>
    </row>
    <row r="52" spans="1:30" ht="15.75" customHeight="1">
      <c r="A52" s="85"/>
      <c r="B52" s="48"/>
      <c r="C52" s="48"/>
      <c r="D52" s="48"/>
      <c r="E52" s="48"/>
      <c r="F52" s="48"/>
      <c r="G52" s="48"/>
      <c r="H52" s="48"/>
      <c r="I52" s="48"/>
      <c r="J52" s="48"/>
      <c r="K52" s="50"/>
      <c r="L52" s="48"/>
      <c r="M52" s="48"/>
      <c r="N52" s="50"/>
      <c r="O52" s="48"/>
      <c r="P52" s="48"/>
      <c r="Q52" s="48"/>
      <c r="R52" s="48"/>
      <c r="S52" s="48"/>
      <c r="T52" s="48"/>
      <c r="U52" s="48"/>
      <c r="V52" s="48"/>
      <c r="W52" s="48"/>
      <c r="X52" s="48"/>
      <c r="Y52" s="48"/>
      <c r="Z52" s="48"/>
      <c r="AA52" s="48"/>
      <c r="AB52" s="48"/>
      <c r="AC52" s="48"/>
      <c r="AD52" s="48"/>
    </row>
    <row r="53" spans="1:30" ht="15.75" customHeight="1">
      <c r="A53" s="85"/>
      <c r="B53" s="48"/>
      <c r="C53" s="48"/>
      <c r="D53" s="48"/>
      <c r="E53" s="48"/>
      <c r="F53" s="48"/>
      <c r="G53" s="48"/>
      <c r="H53" s="48"/>
      <c r="I53" s="48"/>
      <c r="J53" s="48"/>
      <c r="K53" s="50"/>
      <c r="L53" s="48"/>
      <c r="M53" s="48"/>
      <c r="N53" s="50"/>
      <c r="O53" s="48"/>
      <c r="P53" s="48"/>
      <c r="Q53" s="48"/>
      <c r="R53" s="48"/>
      <c r="S53" s="48"/>
      <c r="T53" s="48"/>
      <c r="U53" s="48"/>
      <c r="V53" s="48"/>
      <c r="W53" s="48"/>
      <c r="X53" s="48"/>
      <c r="Y53" s="48"/>
      <c r="Z53" s="48"/>
      <c r="AA53" s="48"/>
      <c r="AB53" s="48"/>
      <c r="AC53" s="48"/>
      <c r="AD53" s="48"/>
    </row>
    <row r="54" spans="1:30" ht="15.75" customHeight="1">
      <c r="A54" s="85"/>
      <c r="B54" s="48"/>
      <c r="C54" s="48"/>
      <c r="D54" s="48"/>
      <c r="E54" s="48"/>
      <c r="F54" s="48"/>
      <c r="G54" s="48"/>
      <c r="H54" s="48"/>
      <c r="I54" s="48"/>
      <c r="J54" s="48"/>
      <c r="K54" s="50"/>
      <c r="L54" s="48"/>
      <c r="M54" s="48"/>
      <c r="N54" s="50"/>
      <c r="O54" s="48"/>
      <c r="P54" s="48"/>
      <c r="Q54" s="48"/>
      <c r="R54" s="48"/>
      <c r="S54" s="48"/>
      <c r="T54" s="48"/>
      <c r="U54" s="48"/>
      <c r="V54" s="48"/>
      <c r="W54" s="48"/>
      <c r="X54" s="48"/>
      <c r="Y54" s="48"/>
      <c r="Z54" s="48"/>
      <c r="AA54" s="48"/>
      <c r="AB54" s="48"/>
      <c r="AC54" s="48"/>
      <c r="AD54" s="48"/>
    </row>
    <row r="55" spans="1:30" ht="15.75" customHeight="1">
      <c r="A55" s="85"/>
      <c r="B55" s="48"/>
      <c r="C55" s="48"/>
      <c r="D55" s="48"/>
      <c r="E55" s="48"/>
      <c r="F55" s="48"/>
      <c r="G55" s="48"/>
      <c r="H55" s="48"/>
      <c r="I55" s="48"/>
      <c r="J55" s="48"/>
      <c r="K55" s="50"/>
      <c r="L55" s="48"/>
      <c r="M55" s="48"/>
      <c r="N55" s="50"/>
      <c r="O55" s="48"/>
      <c r="P55" s="48"/>
      <c r="Q55" s="48"/>
      <c r="R55" s="48"/>
      <c r="S55" s="48"/>
      <c r="T55" s="48"/>
      <c r="U55" s="48"/>
      <c r="V55" s="48"/>
      <c r="W55" s="48"/>
      <c r="X55" s="48"/>
      <c r="Y55" s="48"/>
      <c r="Z55" s="48"/>
      <c r="AA55" s="48"/>
      <c r="AB55" s="48"/>
      <c r="AC55" s="48"/>
      <c r="AD55" s="48"/>
    </row>
    <row r="56" spans="1:30" ht="15.75" customHeight="1">
      <c r="A56" s="85"/>
      <c r="B56" s="48"/>
      <c r="C56" s="48"/>
      <c r="D56" s="48"/>
      <c r="E56" s="48"/>
      <c r="F56" s="48"/>
      <c r="G56" s="48"/>
      <c r="H56" s="48"/>
      <c r="I56" s="48"/>
      <c r="J56" s="48"/>
      <c r="K56" s="50"/>
      <c r="L56" s="48"/>
      <c r="M56" s="48"/>
      <c r="N56" s="50"/>
      <c r="O56" s="48"/>
      <c r="P56" s="48"/>
      <c r="Q56" s="48"/>
      <c r="R56" s="48"/>
      <c r="S56" s="48"/>
      <c r="T56" s="48"/>
      <c r="U56" s="48"/>
      <c r="V56" s="48"/>
      <c r="W56" s="48"/>
      <c r="X56" s="48"/>
      <c r="Y56" s="48"/>
      <c r="Z56" s="48"/>
      <c r="AA56" s="48"/>
      <c r="AB56" s="48"/>
      <c r="AC56" s="48"/>
      <c r="AD56" s="48"/>
    </row>
    <row r="57" spans="1:30" ht="15.75" customHeight="1">
      <c r="A57" s="85"/>
      <c r="B57" s="48"/>
      <c r="C57" s="48"/>
      <c r="D57" s="48"/>
      <c r="E57" s="48"/>
      <c r="F57" s="48"/>
      <c r="G57" s="48"/>
      <c r="H57" s="48"/>
      <c r="I57" s="48"/>
      <c r="J57" s="48"/>
      <c r="K57" s="50"/>
      <c r="L57" s="48"/>
      <c r="M57" s="48"/>
      <c r="N57" s="50"/>
      <c r="O57" s="48"/>
      <c r="P57" s="48"/>
      <c r="Q57" s="48"/>
      <c r="R57" s="48"/>
      <c r="S57" s="48"/>
      <c r="T57" s="48"/>
      <c r="U57" s="48"/>
      <c r="V57" s="48"/>
      <c r="W57" s="48"/>
      <c r="X57" s="48"/>
      <c r="Y57" s="48"/>
      <c r="Z57" s="48"/>
      <c r="AA57" s="48"/>
      <c r="AB57" s="48"/>
      <c r="AC57" s="48"/>
      <c r="AD57" s="48"/>
    </row>
    <row r="58" spans="1:30" ht="15.75" customHeight="1">
      <c r="A58" s="85"/>
      <c r="B58" s="48"/>
      <c r="C58" s="48"/>
      <c r="D58" s="48"/>
      <c r="E58" s="48"/>
      <c r="F58" s="48"/>
      <c r="G58" s="48"/>
      <c r="H58" s="48"/>
      <c r="I58" s="48"/>
      <c r="J58" s="48"/>
      <c r="K58" s="50"/>
      <c r="L58" s="48"/>
      <c r="M58" s="48"/>
      <c r="N58" s="50"/>
      <c r="O58" s="48"/>
      <c r="P58" s="48"/>
      <c r="Q58" s="48"/>
      <c r="R58" s="48"/>
      <c r="S58" s="48"/>
      <c r="T58" s="48"/>
      <c r="U58" s="48"/>
      <c r="V58" s="48"/>
      <c r="W58" s="48"/>
      <c r="X58" s="48"/>
      <c r="Y58" s="48"/>
      <c r="Z58" s="48"/>
      <c r="AA58" s="48"/>
      <c r="AB58" s="48"/>
      <c r="AC58" s="48"/>
      <c r="AD58" s="48"/>
    </row>
    <row r="59" spans="1:30" ht="15.75" customHeight="1">
      <c r="A59" s="85"/>
      <c r="B59" s="48"/>
      <c r="C59" s="48"/>
      <c r="D59" s="48"/>
      <c r="E59" s="48"/>
      <c r="F59" s="48"/>
      <c r="G59" s="48"/>
      <c r="H59" s="48"/>
      <c r="I59" s="48"/>
      <c r="J59" s="48"/>
      <c r="K59" s="50"/>
      <c r="L59" s="48"/>
      <c r="M59" s="48"/>
      <c r="N59" s="50"/>
      <c r="O59" s="48"/>
      <c r="P59" s="48"/>
      <c r="Q59" s="48"/>
      <c r="R59" s="48"/>
      <c r="S59" s="48"/>
      <c r="T59" s="48"/>
      <c r="U59" s="48"/>
      <c r="V59" s="48"/>
      <c r="W59" s="48"/>
      <c r="X59" s="48"/>
      <c r="Y59" s="48"/>
      <c r="Z59" s="48"/>
      <c r="AA59" s="48"/>
      <c r="AB59" s="48"/>
      <c r="AC59" s="48"/>
      <c r="AD59" s="48"/>
    </row>
    <row r="60" spans="1:30" ht="15.75" customHeight="1">
      <c r="A60" s="85"/>
      <c r="B60" s="48"/>
      <c r="C60" s="48"/>
      <c r="D60" s="48"/>
      <c r="E60" s="48"/>
      <c r="F60" s="48"/>
      <c r="G60" s="48"/>
      <c r="H60" s="48"/>
      <c r="I60" s="48"/>
      <c r="J60" s="48"/>
      <c r="K60" s="50"/>
      <c r="L60" s="48"/>
      <c r="M60" s="48"/>
      <c r="N60" s="50"/>
      <c r="O60" s="48"/>
      <c r="P60" s="48"/>
      <c r="Q60" s="48"/>
      <c r="R60" s="48"/>
      <c r="S60" s="48"/>
      <c r="T60" s="48"/>
      <c r="U60" s="48"/>
      <c r="V60" s="48"/>
      <c r="W60" s="48"/>
      <c r="X60" s="48"/>
      <c r="Y60" s="48"/>
      <c r="Z60" s="48"/>
      <c r="AA60" s="48"/>
      <c r="AB60" s="48"/>
      <c r="AC60" s="48"/>
      <c r="AD60" s="48"/>
    </row>
    <row r="61" spans="1:30" ht="15.75" customHeight="1">
      <c r="A61" s="85"/>
      <c r="B61" s="48"/>
      <c r="C61" s="48"/>
      <c r="D61" s="48"/>
      <c r="E61" s="48"/>
      <c r="F61" s="48"/>
      <c r="G61" s="48"/>
      <c r="H61" s="48"/>
      <c r="I61" s="48"/>
      <c r="J61" s="48"/>
      <c r="K61" s="50"/>
      <c r="L61" s="48"/>
      <c r="M61" s="48"/>
      <c r="N61" s="50"/>
      <c r="O61" s="48"/>
      <c r="P61" s="48"/>
      <c r="Q61" s="48"/>
      <c r="R61" s="48"/>
      <c r="S61" s="48"/>
      <c r="T61" s="48"/>
      <c r="U61" s="48"/>
      <c r="V61" s="48"/>
      <c r="W61" s="48"/>
      <c r="X61" s="48"/>
      <c r="Y61" s="48"/>
      <c r="Z61" s="48"/>
      <c r="AA61" s="48"/>
      <c r="AB61" s="48"/>
      <c r="AC61" s="48"/>
      <c r="AD61" s="48"/>
    </row>
    <row r="62" spans="1:30" ht="15.75" customHeight="1">
      <c r="A62" s="85"/>
      <c r="B62" s="48"/>
      <c r="C62" s="48"/>
      <c r="D62" s="48"/>
      <c r="E62" s="48"/>
      <c r="F62" s="48"/>
      <c r="G62" s="48"/>
      <c r="H62" s="48"/>
      <c r="I62" s="48"/>
      <c r="J62" s="48"/>
      <c r="K62" s="50"/>
      <c r="L62" s="48"/>
      <c r="M62" s="48"/>
      <c r="N62" s="50"/>
      <c r="O62" s="48"/>
      <c r="P62" s="48"/>
      <c r="Q62" s="48"/>
      <c r="R62" s="48"/>
      <c r="S62" s="48"/>
      <c r="T62" s="48"/>
      <c r="U62" s="48"/>
      <c r="V62" s="48"/>
      <c r="W62" s="48"/>
      <c r="X62" s="48"/>
      <c r="Y62" s="48"/>
      <c r="Z62" s="48"/>
      <c r="AA62" s="48"/>
      <c r="AB62" s="48"/>
      <c r="AC62" s="48"/>
      <c r="AD62" s="48"/>
    </row>
    <row r="63" spans="1:30" ht="15.75" customHeight="1">
      <c r="A63" s="85"/>
      <c r="B63" s="48"/>
      <c r="C63" s="48"/>
      <c r="D63" s="48"/>
      <c r="E63" s="48"/>
      <c r="F63" s="48"/>
      <c r="G63" s="48"/>
      <c r="H63" s="48"/>
      <c r="I63" s="48"/>
      <c r="J63" s="48"/>
      <c r="K63" s="50"/>
      <c r="L63" s="48"/>
      <c r="M63" s="48"/>
      <c r="N63" s="50"/>
      <c r="O63" s="48"/>
      <c r="P63" s="48"/>
      <c r="Q63" s="48"/>
      <c r="R63" s="48"/>
      <c r="S63" s="48"/>
      <c r="T63" s="48"/>
      <c r="U63" s="48"/>
      <c r="V63" s="48"/>
      <c r="W63" s="48"/>
      <c r="X63" s="48"/>
      <c r="Y63" s="48"/>
      <c r="Z63" s="48"/>
      <c r="AA63" s="48"/>
      <c r="AB63" s="48"/>
      <c r="AC63" s="48"/>
      <c r="AD63" s="48"/>
    </row>
    <row r="64" spans="1:30" ht="15.75" customHeight="1">
      <c r="A64" s="85"/>
      <c r="B64" s="48"/>
      <c r="C64" s="48"/>
      <c r="D64" s="48"/>
      <c r="E64" s="48"/>
      <c r="F64" s="48"/>
      <c r="G64" s="48"/>
      <c r="H64" s="48"/>
      <c r="I64" s="48"/>
      <c r="J64" s="48"/>
      <c r="K64" s="50"/>
      <c r="L64" s="48"/>
      <c r="M64" s="48"/>
      <c r="N64" s="50"/>
      <c r="O64" s="48"/>
      <c r="P64" s="48"/>
      <c r="Q64" s="48"/>
      <c r="R64" s="48"/>
      <c r="S64" s="48"/>
      <c r="T64" s="48"/>
      <c r="U64" s="48"/>
      <c r="V64" s="48"/>
      <c r="W64" s="48"/>
      <c r="X64" s="48"/>
      <c r="Y64" s="48"/>
      <c r="Z64" s="48"/>
      <c r="AA64" s="48"/>
      <c r="AB64" s="48"/>
      <c r="AC64" s="48"/>
      <c r="AD64" s="48"/>
    </row>
    <row r="65" spans="1:30" ht="15.75" customHeight="1">
      <c r="A65" s="85"/>
      <c r="B65" s="48"/>
      <c r="C65" s="48"/>
      <c r="D65" s="48"/>
      <c r="E65" s="48"/>
      <c r="F65" s="48"/>
      <c r="G65" s="48"/>
      <c r="H65" s="48"/>
      <c r="I65" s="48"/>
      <c r="J65" s="48"/>
      <c r="K65" s="50"/>
      <c r="L65" s="48"/>
      <c r="M65" s="48"/>
      <c r="N65" s="50"/>
      <c r="O65" s="48"/>
      <c r="P65" s="48"/>
      <c r="Q65" s="48"/>
      <c r="R65" s="48"/>
      <c r="S65" s="48"/>
      <c r="T65" s="48"/>
      <c r="U65" s="48"/>
      <c r="V65" s="48"/>
      <c r="W65" s="48"/>
      <c r="X65" s="48"/>
      <c r="Y65" s="48"/>
      <c r="Z65" s="48"/>
      <c r="AA65" s="48"/>
      <c r="AB65" s="48"/>
      <c r="AC65" s="48"/>
      <c r="AD65" s="48"/>
    </row>
    <row r="66" spans="1:30" ht="15.75" customHeight="1">
      <c r="A66" s="85"/>
      <c r="B66" s="48"/>
      <c r="C66" s="48"/>
      <c r="D66" s="48"/>
      <c r="E66" s="48"/>
      <c r="F66" s="48"/>
      <c r="G66" s="48"/>
      <c r="H66" s="48"/>
      <c r="I66" s="48"/>
      <c r="J66" s="48"/>
      <c r="K66" s="50"/>
      <c r="L66" s="48"/>
      <c r="M66" s="48"/>
      <c r="N66" s="50"/>
      <c r="O66" s="48"/>
      <c r="P66" s="48"/>
      <c r="Q66" s="48"/>
      <c r="R66" s="48"/>
      <c r="S66" s="48"/>
      <c r="T66" s="48"/>
      <c r="U66" s="48"/>
      <c r="V66" s="48"/>
      <c r="W66" s="48"/>
      <c r="X66" s="48"/>
      <c r="Y66" s="48"/>
      <c r="Z66" s="48"/>
      <c r="AA66" s="48"/>
      <c r="AB66" s="48"/>
      <c r="AC66" s="48"/>
      <c r="AD66" s="48"/>
    </row>
    <row r="67" spans="1:30" ht="15.75" customHeight="1">
      <c r="A67" s="85"/>
      <c r="B67" s="48"/>
      <c r="C67" s="48"/>
      <c r="D67" s="48"/>
      <c r="E67" s="48"/>
      <c r="F67" s="48"/>
      <c r="G67" s="48"/>
      <c r="H67" s="48"/>
      <c r="I67" s="48"/>
      <c r="J67" s="48"/>
      <c r="K67" s="50"/>
      <c r="L67" s="48"/>
      <c r="M67" s="48"/>
      <c r="N67" s="50"/>
      <c r="O67" s="48"/>
      <c r="P67" s="48"/>
      <c r="Q67" s="48"/>
      <c r="R67" s="48"/>
      <c r="S67" s="48"/>
      <c r="T67" s="48"/>
      <c r="U67" s="48"/>
      <c r="V67" s="48"/>
      <c r="W67" s="48"/>
      <c r="X67" s="48"/>
      <c r="Y67" s="48"/>
      <c r="Z67" s="48"/>
      <c r="AA67" s="48"/>
      <c r="AB67" s="48"/>
      <c r="AC67" s="48"/>
      <c r="AD67" s="48"/>
    </row>
    <row r="68" spans="1:30" ht="15.75" customHeight="1">
      <c r="A68" s="85"/>
      <c r="B68" s="48"/>
      <c r="C68" s="48"/>
      <c r="D68" s="48"/>
      <c r="E68" s="48"/>
      <c r="F68" s="48"/>
      <c r="G68" s="48"/>
      <c r="H68" s="48"/>
      <c r="I68" s="48"/>
      <c r="J68" s="48"/>
      <c r="K68" s="50"/>
      <c r="L68" s="48"/>
      <c r="M68" s="48"/>
      <c r="N68" s="50"/>
      <c r="O68" s="48"/>
      <c r="P68" s="48"/>
      <c r="Q68" s="48"/>
      <c r="R68" s="48"/>
      <c r="S68" s="48"/>
      <c r="T68" s="48"/>
      <c r="U68" s="48"/>
      <c r="V68" s="48"/>
      <c r="W68" s="48"/>
      <c r="X68" s="48"/>
      <c r="Y68" s="48"/>
      <c r="Z68" s="48"/>
      <c r="AA68" s="48"/>
      <c r="AB68" s="48"/>
      <c r="AC68" s="48"/>
      <c r="AD68" s="48"/>
    </row>
    <row r="69" spans="1:30" ht="15.75" customHeight="1">
      <c r="A69" s="85"/>
      <c r="B69" s="48"/>
      <c r="C69" s="48"/>
      <c r="D69" s="48"/>
      <c r="E69" s="48"/>
      <c r="F69" s="48"/>
      <c r="G69" s="48"/>
      <c r="H69" s="48"/>
      <c r="I69" s="48"/>
      <c r="J69" s="48"/>
      <c r="K69" s="50"/>
      <c r="L69" s="48"/>
      <c r="M69" s="48"/>
      <c r="N69" s="50"/>
      <c r="O69" s="48"/>
      <c r="P69" s="48"/>
      <c r="Q69" s="48"/>
      <c r="R69" s="48"/>
      <c r="S69" s="48"/>
      <c r="T69" s="48"/>
      <c r="U69" s="48"/>
      <c r="V69" s="48"/>
      <c r="W69" s="48"/>
      <c r="X69" s="48"/>
      <c r="Y69" s="48"/>
      <c r="Z69" s="48"/>
      <c r="AA69" s="48"/>
      <c r="AB69" s="48"/>
      <c r="AC69" s="48"/>
      <c r="AD69" s="48"/>
    </row>
    <row r="70" spans="1:30" ht="15.75" customHeight="1">
      <c r="A70" s="85"/>
      <c r="B70" s="48"/>
      <c r="C70" s="48"/>
      <c r="D70" s="48"/>
      <c r="E70" s="48"/>
      <c r="F70" s="48"/>
      <c r="G70" s="48"/>
      <c r="H70" s="48"/>
      <c r="I70" s="48"/>
      <c r="J70" s="48"/>
      <c r="K70" s="50"/>
      <c r="L70" s="48"/>
      <c r="M70" s="48"/>
      <c r="N70" s="50"/>
      <c r="O70" s="48"/>
      <c r="P70" s="48"/>
      <c r="Q70" s="48"/>
      <c r="R70" s="48"/>
      <c r="S70" s="48"/>
      <c r="T70" s="48"/>
      <c r="U70" s="48"/>
      <c r="V70" s="48"/>
      <c r="W70" s="48"/>
      <c r="X70" s="48"/>
      <c r="Y70" s="48"/>
      <c r="Z70" s="48"/>
      <c r="AA70" s="48"/>
      <c r="AB70" s="48"/>
      <c r="AC70" s="48"/>
      <c r="AD70" s="48"/>
    </row>
    <row r="71" spans="1:30" ht="15.75" customHeight="1">
      <c r="A71" s="85"/>
      <c r="B71" s="48"/>
      <c r="C71" s="48"/>
      <c r="D71" s="48"/>
      <c r="E71" s="48"/>
      <c r="F71" s="48"/>
      <c r="G71" s="48"/>
      <c r="H71" s="48"/>
      <c r="I71" s="48"/>
      <c r="J71" s="48"/>
      <c r="K71" s="50"/>
      <c r="L71" s="48"/>
      <c r="M71" s="48"/>
      <c r="N71" s="50"/>
      <c r="O71" s="48"/>
      <c r="P71" s="48"/>
      <c r="Q71" s="48"/>
      <c r="R71" s="48"/>
      <c r="S71" s="48"/>
      <c r="T71" s="48"/>
      <c r="U71" s="48"/>
      <c r="V71" s="48"/>
      <c r="W71" s="48"/>
      <c r="X71" s="48"/>
      <c r="Y71" s="48"/>
      <c r="Z71" s="48"/>
      <c r="AA71" s="48"/>
      <c r="AB71" s="48"/>
      <c r="AC71" s="48"/>
      <c r="AD71" s="48"/>
    </row>
    <row r="72" spans="1:30" ht="15.75" customHeight="1">
      <c r="A72" s="85"/>
      <c r="B72" s="48"/>
      <c r="C72" s="48"/>
      <c r="D72" s="48"/>
      <c r="E72" s="48"/>
      <c r="F72" s="48"/>
      <c r="G72" s="48"/>
      <c r="H72" s="48"/>
      <c r="I72" s="48"/>
      <c r="J72" s="48"/>
      <c r="K72" s="50"/>
      <c r="L72" s="48"/>
      <c r="M72" s="48"/>
      <c r="N72" s="50"/>
      <c r="O72" s="48"/>
      <c r="P72" s="48"/>
      <c r="Q72" s="48"/>
      <c r="R72" s="48"/>
      <c r="S72" s="48"/>
      <c r="T72" s="48"/>
      <c r="U72" s="48"/>
      <c r="V72" s="48"/>
      <c r="W72" s="48"/>
      <c r="X72" s="48"/>
      <c r="Y72" s="48"/>
      <c r="Z72" s="48"/>
      <c r="AA72" s="48"/>
      <c r="AB72" s="48"/>
      <c r="AC72" s="48"/>
      <c r="AD72" s="48"/>
    </row>
    <row r="73" spans="1:30" ht="15.75" customHeight="1">
      <c r="A73" s="85"/>
      <c r="B73" s="48"/>
      <c r="C73" s="48"/>
      <c r="D73" s="48"/>
      <c r="E73" s="48"/>
      <c r="F73" s="48"/>
      <c r="G73" s="48"/>
      <c r="H73" s="48"/>
      <c r="I73" s="48"/>
      <c r="J73" s="48"/>
      <c r="K73" s="50"/>
      <c r="L73" s="48"/>
      <c r="M73" s="48"/>
      <c r="N73" s="50"/>
      <c r="O73" s="48"/>
      <c r="P73" s="48"/>
      <c r="Q73" s="48"/>
      <c r="R73" s="48"/>
      <c r="S73" s="48"/>
      <c r="T73" s="48"/>
      <c r="U73" s="48"/>
      <c r="V73" s="48"/>
      <c r="W73" s="48"/>
      <c r="X73" s="48"/>
      <c r="Y73" s="48"/>
      <c r="Z73" s="48"/>
      <c r="AA73" s="48"/>
      <c r="AB73" s="48"/>
      <c r="AC73" s="48"/>
      <c r="AD73" s="48"/>
    </row>
    <row r="74" spans="1:30" ht="15.75" customHeight="1">
      <c r="A74" s="85"/>
      <c r="B74" s="48"/>
      <c r="C74" s="48"/>
      <c r="D74" s="48"/>
      <c r="E74" s="48"/>
      <c r="F74" s="48"/>
      <c r="G74" s="48"/>
      <c r="H74" s="48"/>
      <c r="I74" s="48"/>
      <c r="J74" s="48"/>
      <c r="K74" s="50"/>
      <c r="L74" s="48"/>
      <c r="M74" s="48"/>
      <c r="N74" s="50"/>
      <c r="O74" s="48"/>
      <c r="P74" s="48"/>
      <c r="Q74" s="48"/>
      <c r="R74" s="48"/>
      <c r="S74" s="48"/>
      <c r="T74" s="48"/>
      <c r="U74" s="48"/>
      <c r="V74" s="48"/>
      <c r="W74" s="48"/>
      <c r="X74" s="48"/>
      <c r="Y74" s="48"/>
      <c r="Z74" s="48"/>
      <c r="AA74" s="48"/>
      <c r="AB74" s="48"/>
      <c r="AC74" s="48"/>
      <c r="AD74" s="48"/>
    </row>
    <row r="75" spans="1:30" ht="15.75" customHeight="1">
      <c r="A75" s="85"/>
      <c r="B75" s="48"/>
      <c r="C75" s="48"/>
      <c r="D75" s="48"/>
      <c r="E75" s="48"/>
      <c r="F75" s="48"/>
      <c r="G75" s="48"/>
      <c r="H75" s="48"/>
      <c r="I75" s="48"/>
      <c r="J75" s="48"/>
      <c r="K75" s="50"/>
      <c r="L75" s="48"/>
      <c r="M75" s="48"/>
      <c r="N75" s="50"/>
      <c r="O75" s="48"/>
      <c r="P75" s="48"/>
      <c r="Q75" s="48"/>
      <c r="R75" s="48"/>
      <c r="S75" s="48"/>
      <c r="T75" s="48"/>
      <c r="U75" s="48"/>
      <c r="V75" s="48"/>
      <c r="W75" s="48"/>
      <c r="X75" s="48"/>
      <c r="Y75" s="48"/>
      <c r="Z75" s="48"/>
      <c r="AA75" s="48"/>
      <c r="AB75" s="48"/>
      <c r="AC75" s="48"/>
      <c r="AD75" s="48"/>
    </row>
    <row r="76" spans="1:30" ht="15.75" customHeight="1">
      <c r="A76" s="85"/>
      <c r="B76" s="48"/>
      <c r="C76" s="48"/>
      <c r="D76" s="48"/>
      <c r="E76" s="48"/>
      <c r="F76" s="48"/>
      <c r="G76" s="48"/>
      <c r="H76" s="48"/>
      <c r="I76" s="48"/>
      <c r="J76" s="48"/>
      <c r="K76" s="50"/>
      <c r="L76" s="48"/>
      <c r="M76" s="48"/>
      <c r="N76" s="50"/>
      <c r="O76" s="48"/>
      <c r="P76" s="48"/>
      <c r="Q76" s="48"/>
      <c r="R76" s="48"/>
      <c r="S76" s="48"/>
      <c r="T76" s="48"/>
      <c r="U76" s="48"/>
      <c r="V76" s="48"/>
      <c r="W76" s="48"/>
      <c r="X76" s="48"/>
      <c r="Y76" s="48"/>
      <c r="Z76" s="48"/>
      <c r="AA76" s="48"/>
      <c r="AB76" s="48"/>
      <c r="AC76" s="48"/>
      <c r="AD76" s="48"/>
    </row>
    <row r="77" spans="1:30" ht="15.75" customHeight="1">
      <c r="A77" s="85"/>
      <c r="B77" s="48"/>
      <c r="C77" s="48"/>
      <c r="D77" s="48"/>
      <c r="E77" s="48"/>
      <c r="F77" s="48"/>
      <c r="G77" s="48"/>
      <c r="H77" s="48"/>
      <c r="I77" s="48"/>
      <c r="J77" s="48"/>
      <c r="K77" s="50"/>
      <c r="L77" s="48"/>
      <c r="M77" s="48"/>
      <c r="N77" s="50"/>
      <c r="O77" s="48"/>
      <c r="P77" s="48"/>
      <c r="Q77" s="48"/>
      <c r="R77" s="48"/>
      <c r="S77" s="48"/>
      <c r="T77" s="48"/>
      <c r="U77" s="48"/>
      <c r="V77" s="48"/>
      <c r="W77" s="48"/>
      <c r="X77" s="48"/>
      <c r="Y77" s="48"/>
      <c r="Z77" s="48"/>
      <c r="AA77" s="48"/>
      <c r="AB77" s="48"/>
      <c r="AC77" s="48"/>
      <c r="AD77" s="48"/>
    </row>
    <row r="78" spans="1:30" ht="15.75" customHeight="1">
      <c r="A78" s="85"/>
      <c r="B78" s="48"/>
      <c r="C78" s="48"/>
      <c r="D78" s="48"/>
      <c r="E78" s="48"/>
      <c r="F78" s="48"/>
      <c r="G78" s="48"/>
      <c r="H78" s="48"/>
      <c r="I78" s="48"/>
      <c r="J78" s="48"/>
      <c r="K78" s="50"/>
      <c r="L78" s="48"/>
      <c r="M78" s="48"/>
      <c r="N78" s="50"/>
      <c r="O78" s="48"/>
      <c r="P78" s="48"/>
      <c r="Q78" s="48"/>
      <c r="R78" s="48"/>
      <c r="S78" s="48"/>
      <c r="T78" s="48"/>
      <c r="U78" s="48"/>
      <c r="V78" s="48"/>
      <c r="W78" s="48"/>
      <c r="X78" s="48"/>
      <c r="Y78" s="48"/>
      <c r="Z78" s="48"/>
      <c r="AA78" s="48"/>
      <c r="AB78" s="48"/>
      <c r="AC78" s="48"/>
      <c r="AD78" s="48"/>
    </row>
    <row r="79" spans="1:30" ht="15.75" customHeight="1">
      <c r="A79" s="85"/>
      <c r="B79" s="48"/>
      <c r="C79" s="48"/>
      <c r="D79" s="48"/>
      <c r="E79" s="48"/>
      <c r="F79" s="48"/>
      <c r="G79" s="48"/>
      <c r="H79" s="48"/>
      <c r="I79" s="48"/>
      <c r="J79" s="48"/>
      <c r="K79" s="50"/>
      <c r="L79" s="48"/>
      <c r="M79" s="48"/>
      <c r="N79" s="50"/>
      <c r="O79" s="48"/>
      <c r="P79" s="48"/>
      <c r="Q79" s="48"/>
      <c r="R79" s="48"/>
      <c r="S79" s="48"/>
      <c r="T79" s="48"/>
      <c r="U79" s="48"/>
      <c r="V79" s="48"/>
      <c r="W79" s="48"/>
      <c r="X79" s="48"/>
      <c r="Y79" s="48"/>
      <c r="Z79" s="48"/>
      <c r="AA79" s="48"/>
      <c r="AB79" s="48"/>
      <c r="AC79" s="48"/>
      <c r="AD79" s="48"/>
    </row>
    <row r="80" spans="1:30" ht="15.75" customHeight="1">
      <c r="A80" s="85"/>
      <c r="B80" s="48"/>
      <c r="C80" s="48"/>
      <c r="D80" s="48"/>
      <c r="E80" s="48"/>
      <c r="F80" s="48"/>
      <c r="G80" s="48"/>
      <c r="H80" s="48"/>
      <c r="I80" s="48"/>
      <c r="J80" s="48"/>
      <c r="K80" s="50"/>
      <c r="L80" s="48"/>
      <c r="M80" s="48"/>
      <c r="N80" s="50"/>
      <c r="O80" s="48"/>
      <c r="P80" s="48"/>
      <c r="Q80" s="48"/>
      <c r="R80" s="48"/>
      <c r="S80" s="48"/>
      <c r="T80" s="48"/>
      <c r="U80" s="48"/>
      <c r="V80" s="48"/>
      <c r="W80" s="48"/>
      <c r="X80" s="48"/>
      <c r="Y80" s="48"/>
      <c r="Z80" s="48"/>
      <c r="AA80" s="48"/>
      <c r="AB80" s="48"/>
      <c r="AC80" s="48"/>
      <c r="AD80" s="48"/>
    </row>
    <row r="81" spans="1:30" ht="15.75" customHeight="1">
      <c r="A81" s="85"/>
      <c r="B81" s="48"/>
      <c r="C81" s="48"/>
      <c r="D81" s="48"/>
      <c r="E81" s="48"/>
      <c r="F81" s="48"/>
      <c r="G81" s="48"/>
      <c r="H81" s="48"/>
      <c r="I81" s="48"/>
      <c r="J81" s="48"/>
      <c r="K81" s="50"/>
      <c r="L81" s="48"/>
      <c r="M81" s="48"/>
      <c r="N81" s="50"/>
      <c r="O81" s="48"/>
      <c r="P81" s="48"/>
      <c r="Q81" s="48"/>
      <c r="R81" s="48"/>
      <c r="S81" s="48"/>
      <c r="T81" s="48"/>
      <c r="U81" s="48"/>
      <c r="V81" s="48"/>
      <c r="W81" s="48"/>
      <c r="X81" s="48"/>
      <c r="Y81" s="48"/>
      <c r="Z81" s="48"/>
      <c r="AA81" s="48"/>
      <c r="AB81" s="48"/>
      <c r="AC81" s="48"/>
      <c r="AD81" s="48"/>
    </row>
    <row r="82" spans="1:30" ht="15.75" customHeight="1">
      <c r="A82" s="85"/>
      <c r="B82" s="48"/>
      <c r="C82" s="48"/>
      <c r="D82" s="48"/>
      <c r="E82" s="48"/>
      <c r="F82" s="48"/>
      <c r="G82" s="48"/>
      <c r="H82" s="48"/>
      <c r="I82" s="48"/>
      <c r="J82" s="48"/>
      <c r="K82" s="50"/>
      <c r="L82" s="48"/>
      <c r="M82" s="48"/>
      <c r="N82" s="50"/>
      <c r="O82" s="48"/>
      <c r="P82" s="48"/>
      <c r="Q82" s="48"/>
      <c r="R82" s="48"/>
      <c r="S82" s="48"/>
      <c r="T82" s="48"/>
      <c r="U82" s="48"/>
      <c r="V82" s="48"/>
      <c r="W82" s="48"/>
      <c r="X82" s="48"/>
      <c r="Y82" s="48"/>
      <c r="Z82" s="48"/>
      <c r="AA82" s="48"/>
      <c r="AB82" s="48"/>
      <c r="AC82" s="48"/>
      <c r="AD82" s="48"/>
    </row>
    <row r="83" spans="1:30" ht="15.75" customHeight="1">
      <c r="A83" s="85"/>
      <c r="B83" s="48"/>
      <c r="C83" s="48"/>
      <c r="D83" s="48"/>
      <c r="E83" s="48"/>
      <c r="F83" s="48"/>
      <c r="G83" s="48"/>
      <c r="H83" s="48"/>
      <c r="I83" s="48"/>
      <c r="J83" s="48"/>
      <c r="K83" s="50"/>
      <c r="L83" s="48"/>
      <c r="M83" s="48"/>
      <c r="N83" s="50"/>
      <c r="O83" s="48"/>
      <c r="P83" s="48"/>
      <c r="Q83" s="48"/>
      <c r="R83" s="48"/>
      <c r="S83" s="48"/>
      <c r="T83" s="48"/>
      <c r="U83" s="48"/>
      <c r="V83" s="48"/>
      <c r="W83" s="48"/>
      <c r="X83" s="48"/>
      <c r="Y83" s="48"/>
      <c r="Z83" s="48"/>
      <c r="AA83" s="48"/>
      <c r="AB83" s="48"/>
      <c r="AC83" s="48"/>
      <c r="AD83" s="48"/>
    </row>
    <row r="84" spans="1:30" ht="15.75" customHeight="1">
      <c r="A84" s="85"/>
      <c r="B84" s="48"/>
      <c r="C84" s="48"/>
      <c r="D84" s="48"/>
      <c r="E84" s="48"/>
      <c r="F84" s="48"/>
      <c r="G84" s="48"/>
      <c r="H84" s="48"/>
      <c r="I84" s="48"/>
      <c r="J84" s="48"/>
      <c r="K84" s="50"/>
      <c r="L84" s="48"/>
      <c r="M84" s="48"/>
      <c r="N84" s="50"/>
      <c r="O84" s="48"/>
      <c r="P84" s="48"/>
      <c r="Q84" s="48"/>
      <c r="R84" s="48"/>
      <c r="S84" s="48"/>
      <c r="T84" s="48"/>
      <c r="U84" s="48"/>
      <c r="V84" s="48"/>
      <c r="W84" s="48"/>
      <c r="X84" s="48"/>
      <c r="Y84" s="48"/>
      <c r="Z84" s="48"/>
      <c r="AA84" s="48"/>
      <c r="AB84" s="48"/>
      <c r="AC84" s="48"/>
      <c r="AD84" s="48"/>
    </row>
    <row r="85" spans="1:30" ht="15.75" customHeight="1">
      <c r="A85" s="85"/>
      <c r="B85" s="48"/>
      <c r="C85" s="48"/>
      <c r="D85" s="48"/>
      <c r="E85" s="48"/>
      <c r="F85" s="48"/>
      <c r="G85" s="48"/>
      <c r="H85" s="48"/>
      <c r="I85" s="48"/>
      <c r="J85" s="48"/>
      <c r="K85" s="50"/>
      <c r="L85" s="48"/>
      <c r="M85" s="48"/>
      <c r="N85" s="50"/>
      <c r="O85" s="48"/>
      <c r="P85" s="48"/>
      <c r="Q85" s="48"/>
      <c r="R85" s="48"/>
      <c r="S85" s="48"/>
      <c r="T85" s="48"/>
      <c r="U85" s="48"/>
      <c r="V85" s="48"/>
      <c r="W85" s="48"/>
      <c r="X85" s="48"/>
      <c r="Y85" s="48"/>
      <c r="Z85" s="48"/>
      <c r="AA85" s="48"/>
      <c r="AB85" s="48"/>
      <c r="AC85" s="48"/>
      <c r="AD85" s="48"/>
    </row>
    <row r="86" spans="1:30" ht="15.75" customHeight="1">
      <c r="A86" s="85"/>
      <c r="B86" s="48"/>
      <c r="C86" s="48"/>
      <c r="D86" s="48"/>
      <c r="E86" s="48"/>
      <c r="F86" s="48"/>
      <c r="G86" s="48"/>
      <c r="H86" s="48"/>
      <c r="I86" s="48"/>
      <c r="J86" s="48"/>
      <c r="K86" s="50"/>
      <c r="L86" s="48"/>
      <c r="M86" s="48"/>
      <c r="N86" s="50"/>
      <c r="O86" s="48"/>
      <c r="P86" s="48"/>
      <c r="Q86" s="48"/>
      <c r="R86" s="48"/>
      <c r="S86" s="48"/>
      <c r="T86" s="48"/>
      <c r="U86" s="48"/>
      <c r="V86" s="48"/>
      <c r="W86" s="48"/>
      <c r="X86" s="48"/>
      <c r="Y86" s="48"/>
      <c r="Z86" s="48"/>
      <c r="AA86" s="48"/>
      <c r="AB86" s="48"/>
      <c r="AC86" s="48"/>
      <c r="AD86" s="48"/>
    </row>
    <row r="87" spans="1:30" ht="15.75" customHeight="1">
      <c r="A87" s="85"/>
      <c r="B87" s="48"/>
      <c r="C87" s="48"/>
      <c r="D87" s="48"/>
      <c r="E87" s="48"/>
      <c r="F87" s="48"/>
      <c r="G87" s="48"/>
      <c r="H87" s="48"/>
      <c r="I87" s="48"/>
      <c r="J87" s="48"/>
      <c r="K87" s="50"/>
      <c r="L87" s="48"/>
      <c r="M87" s="48"/>
      <c r="N87" s="50"/>
      <c r="O87" s="48"/>
      <c r="P87" s="48"/>
      <c r="Q87" s="48"/>
      <c r="R87" s="48"/>
      <c r="S87" s="48"/>
      <c r="T87" s="48"/>
      <c r="U87" s="48"/>
      <c r="V87" s="48"/>
      <c r="W87" s="48"/>
      <c r="X87" s="48"/>
      <c r="Y87" s="48"/>
      <c r="Z87" s="48"/>
      <c r="AA87" s="48"/>
      <c r="AB87" s="48"/>
      <c r="AC87" s="48"/>
      <c r="AD87" s="48"/>
    </row>
    <row r="88" spans="1:30" ht="15.75" customHeight="1">
      <c r="A88" s="85"/>
      <c r="B88" s="48"/>
      <c r="C88" s="48"/>
      <c r="D88" s="48"/>
      <c r="E88" s="48"/>
      <c r="F88" s="48"/>
      <c r="G88" s="48"/>
      <c r="H88" s="48"/>
      <c r="I88" s="48"/>
      <c r="J88" s="48"/>
      <c r="K88" s="50"/>
      <c r="L88" s="48"/>
      <c r="M88" s="48"/>
      <c r="N88" s="50"/>
      <c r="O88" s="48"/>
      <c r="P88" s="48"/>
      <c r="Q88" s="48"/>
      <c r="R88" s="48"/>
      <c r="S88" s="48"/>
      <c r="T88" s="48"/>
      <c r="U88" s="48"/>
      <c r="V88" s="48"/>
      <c r="W88" s="48"/>
      <c r="X88" s="48"/>
      <c r="Y88" s="48"/>
      <c r="Z88" s="48"/>
      <c r="AA88" s="48"/>
      <c r="AB88" s="48"/>
      <c r="AC88" s="48"/>
      <c r="AD88" s="48"/>
    </row>
    <row r="89" spans="1:30" ht="15.75" customHeight="1">
      <c r="A89" s="85"/>
      <c r="B89" s="48"/>
      <c r="C89" s="48"/>
      <c r="D89" s="48"/>
      <c r="E89" s="48"/>
      <c r="F89" s="48"/>
      <c r="G89" s="48"/>
      <c r="H89" s="48"/>
      <c r="I89" s="48"/>
      <c r="J89" s="48"/>
      <c r="K89" s="50"/>
      <c r="L89" s="48"/>
      <c r="M89" s="48"/>
      <c r="N89" s="50"/>
      <c r="O89" s="48"/>
      <c r="P89" s="48"/>
      <c r="Q89" s="48"/>
      <c r="R89" s="48"/>
      <c r="S89" s="48"/>
      <c r="T89" s="48"/>
      <c r="U89" s="48"/>
      <c r="V89" s="48"/>
      <c r="W89" s="48"/>
      <c r="X89" s="48"/>
      <c r="Y89" s="48"/>
      <c r="Z89" s="48"/>
      <c r="AA89" s="48"/>
      <c r="AB89" s="48"/>
      <c r="AC89" s="48"/>
      <c r="AD89" s="48"/>
    </row>
    <row r="90" spans="1:30" ht="15.75" customHeight="1">
      <c r="A90" s="85"/>
      <c r="B90" s="48"/>
      <c r="C90" s="48"/>
      <c r="D90" s="48"/>
      <c r="E90" s="48"/>
      <c r="F90" s="48"/>
      <c r="G90" s="48"/>
      <c r="H90" s="48"/>
      <c r="I90" s="48"/>
      <c r="J90" s="48"/>
      <c r="K90" s="50"/>
      <c r="L90" s="48"/>
      <c r="M90" s="48"/>
      <c r="N90" s="50"/>
      <c r="O90" s="48"/>
      <c r="P90" s="48"/>
      <c r="Q90" s="48"/>
      <c r="R90" s="48"/>
      <c r="S90" s="48"/>
      <c r="T90" s="48"/>
      <c r="U90" s="48"/>
      <c r="V90" s="48"/>
      <c r="W90" s="48"/>
      <c r="X90" s="48"/>
      <c r="Y90" s="48"/>
      <c r="Z90" s="48"/>
      <c r="AA90" s="48"/>
      <c r="AB90" s="48"/>
      <c r="AC90" s="48"/>
      <c r="AD90" s="48"/>
    </row>
    <row r="91" spans="1:30" ht="15.75" customHeight="1">
      <c r="A91" s="85"/>
      <c r="B91" s="48"/>
      <c r="C91" s="48"/>
      <c r="D91" s="48"/>
      <c r="E91" s="48"/>
      <c r="F91" s="48"/>
      <c r="G91" s="48"/>
      <c r="H91" s="48"/>
      <c r="I91" s="48"/>
      <c r="J91" s="48"/>
      <c r="K91" s="50"/>
      <c r="L91" s="48"/>
      <c r="M91" s="48"/>
      <c r="N91" s="50"/>
      <c r="O91" s="48"/>
      <c r="P91" s="48"/>
      <c r="Q91" s="48"/>
      <c r="R91" s="48"/>
      <c r="S91" s="48"/>
      <c r="T91" s="48"/>
      <c r="U91" s="48"/>
      <c r="V91" s="48"/>
      <c r="W91" s="48"/>
      <c r="X91" s="48"/>
      <c r="Y91" s="48"/>
      <c r="Z91" s="48"/>
      <c r="AA91" s="48"/>
      <c r="AB91" s="48"/>
      <c r="AC91" s="48"/>
      <c r="AD91" s="48"/>
    </row>
    <row r="92" spans="1:30" ht="15.75" customHeight="1">
      <c r="A92" s="85"/>
      <c r="B92" s="48"/>
      <c r="C92" s="48"/>
      <c r="D92" s="48"/>
      <c r="E92" s="48"/>
      <c r="F92" s="48"/>
      <c r="G92" s="48"/>
      <c r="H92" s="48"/>
      <c r="I92" s="48"/>
      <c r="J92" s="48"/>
      <c r="K92" s="50"/>
      <c r="L92" s="48"/>
      <c r="M92" s="48"/>
      <c r="N92" s="50"/>
      <c r="O92" s="48"/>
      <c r="P92" s="48"/>
      <c r="Q92" s="48"/>
      <c r="R92" s="48"/>
      <c r="S92" s="48"/>
      <c r="T92" s="48"/>
      <c r="U92" s="48"/>
      <c r="V92" s="48"/>
      <c r="W92" s="48"/>
      <c r="X92" s="48"/>
      <c r="Y92" s="48"/>
      <c r="Z92" s="48"/>
      <c r="AA92" s="48"/>
      <c r="AB92" s="48"/>
      <c r="AC92" s="48"/>
      <c r="AD92" s="48"/>
    </row>
    <row r="93" spans="1:30" ht="15.75" customHeight="1">
      <c r="A93" s="85"/>
      <c r="B93" s="48"/>
      <c r="C93" s="48"/>
      <c r="D93" s="48"/>
      <c r="E93" s="48"/>
      <c r="F93" s="48"/>
      <c r="G93" s="48"/>
      <c r="H93" s="48"/>
      <c r="I93" s="48"/>
      <c r="J93" s="48"/>
      <c r="K93" s="50"/>
      <c r="L93" s="48"/>
      <c r="M93" s="48"/>
      <c r="N93" s="50"/>
      <c r="O93" s="48"/>
      <c r="P93" s="48"/>
      <c r="Q93" s="48"/>
      <c r="R93" s="48"/>
      <c r="S93" s="48"/>
      <c r="T93" s="48"/>
      <c r="U93" s="48"/>
      <c r="V93" s="48"/>
      <c r="W93" s="48"/>
      <c r="X93" s="48"/>
      <c r="Y93" s="48"/>
      <c r="Z93" s="48"/>
      <c r="AA93" s="48"/>
      <c r="AB93" s="48"/>
      <c r="AC93" s="48"/>
      <c r="AD93" s="48"/>
    </row>
    <row r="94" spans="1:30" ht="15.75" customHeight="1">
      <c r="A94" s="85"/>
      <c r="B94" s="48"/>
      <c r="C94" s="48"/>
      <c r="D94" s="48"/>
      <c r="E94" s="48"/>
      <c r="F94" s="48"/>
      <c r="G94" s="48"/>
      <c r="H94" s="48"/>
      <c r="I94" s="48"/>
      <c r="J94" s="48"/>
      <c r="K94" s="50"/>
      <c r="L94" s="48"/>
      <c r="M94" s="48"/>
      <c r="N94" s="50"/>
      <c r="O94" s="48"/>
      <c r="P94" s="48"/>
      <c r="Q94" s="48"/>
      <c r="R94" s="48"/>
      <c r="S94" s="48"/>
      <c r="T94" s="48"/>
      <c r="U94" s="48"/>
      <c r="V94" s="48"/>
      <c r="W94" s="48"/>
      <c r="X94" s="48"/>
      <c r="Y94" s="48"/>
      <c r="Z94" s="48"/>
      <c r="AA94" s="48"/>
      <c r="AB94" s="48"/>
      <c r="AC94" s="48"/>
      <c r="AD94" s="48"/>
    </row>
    <row r="95" spans="1:30" ht="15.75" customHeight="1">
      <c r="A95" s="85"/>
      <c r="B95" s="48"/>
      <c r="C95" s="48"/>
      <c r="D95" s="48"/>
      <c r="E95" s="48"/>
      <c r="F95" s="48"/>
      <c r="G95" s="48"/>
      <c r="H95" s="48"/>
      <c r="I95" s="48"/>
      <c r="J95" s="48"/>
      <c r="K95" s="50"/>
      <c r="L95" s="48"/>
      <c r="M95" s="48"/>
      <c r="N95" s="50"/>
      <c r="O95" s="48"/>
      <c r="P95" s="48"/>
      <c r="Q95" s="48"/>
      <c r="R95" s="48"/>
      <c r="S95" s="48"/>
      <c r="T95" s="48"/>
      <c r="U95" s="48"/>
      <c r="V95" s="48"/>
      <c r="W95" s="48"/>
      <c r="X95" s="48"/>
      <c r="Y95" s="48"/>
      <c r="Z95" s="48"/>
      <c r="AA95" s="48"/>
      <c r="AB95" s="48"/>
      <c r="AC95" s="48"/>
      <c r="AD95" s="48"/>
    </row>
    <row r="96" spans="1:30" ht="15.75" customHeight="1">
      <c r="A96" s="85"/>
      <c r="B96" s="48"/>
      <c r="C96" s="48"/>
      <c r="D96" s="48"/>
      <c r="E96" s="48"/>
      <c r="F96" s="48"/>
      <c r="G96" s="48"/>
      <c r="H96" s="48"/>
      <c r="I96" s="48"/>
      <c r="J96" s="48"/>
      <c r="K96" s="50"/>
      <c r="L96" s="48"/>
      <c r="M96" s="48"/>
      <c r="N96" s="50"/>
      <c r="O96" s="48"/>
      <c r="P96" s="48"/>
      <c r="Q96" s="48"/>
      <c r="R96" s="48"/>
      <c r="S96" s="48"/>
      <c r="T96" s="48"/>
      <c r="U96" s="48"/>
      <c r="V96" s="48"/>
      <c r="W96" s="48"/>
      <c r="X96" s="48"/>
      <c r="Y96" s="48"/>
      <c r="Z96" s="48"/>
      <c r="AA96" s="48"/>
      <c r="AB96" s="48"/>
      <c r="AC96" s="48"/>
      <c r="AD96" s="48"/>
    </row>
    <row r="97" spans="1:30" ht="15.75" customHeight="1">
      <c r="A97" s="85"/>
      <c r="B97" s="48"/>
      <c r="C97" s="48"/>
      <c r="D97" s="48"/>
      <c r="E97" s="48"/>
      <c r="F97" s="48"/>
      <c r="G97" s="48"/>
      <c r="H97" s="48"/>
      <c r="I97" s="48"/>
      <c r="J97" s="48"/>
      <c r="K97" s="50"/>
      <c r="L97" s="48"/>
      <c r="M97" s="48"/>
      <c r="N97" s="50"/>
      <c r="O97" s="48"/>
      <c r="P97" s="48"/>
      <c r="Q97" s="48"/>
      <c r="R97" s="48"/>
      <c r="S97" s="48"/>
      <c r="T97" s="48"/>
      <c r="U97" s="48"/>
      <c r="V97" s="48"/>
      <c r="W97" s="48"/>
      <c r="X97" s="48"/>
      <c r="Y97" s="48"/>
      <c r="Z97" s="48"/>
      <c r="AA97" s="48"/>
      <c r="AB97" s="48"/>
      <c r="AC97" s="48"/>
      <c r="AD97" s="48"/>
    </row>
    <row r="98" spans="1:30" ht="15.75" customHeight="1">
      <c r="A98" s="85"/>
      <c r="B98" s="48"/>
      <c r="C98" s="48"/>
      <c r="D98" s="48"/>
      <c r="E98" s="48"/>
      <c r="F98" s="48"/>
      <c r="G98" s="48"/>
      <c r="H98" s="48"/>
      <c r="I98" s="48"/>
      <c r="J98" s="48"/>
      <c r="K98" s="50"/>
      <c r="L98" s="48"/>
      <c r="M98" s="48"/>
      <c r="N98" s="50"/>
      <c r="O98" s="48"/>
      <c r="P98" s="48"/>
      <c r="Q98" s="48"/>
      <c r="R98" s="48"/>
      <c r="S98" s="48"/>
      <c r="T98" s="48"/>
      <c r="U98" s="48"/>
      <c r="V98" s="48"/>
      <c r="W98" s="48"/>
      <c r="X98" s="48"/>
      <c r="Y98" s="48"/>
      <c r="Z98" s="48"/>
      <c r="AA98" s="48"/>
      <c r="AB98" s="48"/>
      <c r="AC98" s="48"/>
      <c r="AD98" s="48"/>
    </row>
    <row r="99" spans="1:30" ht="15.75" customHeight="1">
      <c r="A99" s="85"/>
      <c r="B99" s="48"/>
      <c r="C99" s="48"/>
      <c r="D99" s="48"/>
      <c r="E99" s="48"/>
      <c r="F99" s="48"/>
      <c r="G99" s="48"/>
      <c r="H99" s="48"/>
      <c r="I99" s="48"/>
      <c r="J99" s="48"/>
      <c r="K99" s="50"/>
      <c r="L99" s="48"/>
      <c r="M99" s="48"/>
      <c r="N99" s="50"/>
      <c r="O99" s="48"/>
      <c r="P99" s="48"/>
      <c r="Q99" s="48"/>
      <c r="R99" s="48"/>
      <c r="S99" s="48"/>
      <c r="T99" s="48"/>
      <c r="U99" s="48"/>
      <c r="V99" s="48"/>
      <c r="W99" s="48"/>
      <c r="X99" s="48"/>
      <c r="Y99" s="48"/>
      <c r="Z99" s="48"/>
      <c r="AA99" s="48"/>
      <c r="AB99" s="48"/>
      <c r="AC99" s="48"/>
      <c r="AD99" s="48"/>
    </row>
    <row r="100" spans="1:30" ht="15.75" customHeight="1">
      <c r="A100" s="85"/>
      <c r="B100" s="48"/>
      <c r="C100" s="48"/>
      <c r="D100" s="48"/>
      <c r="E100" s="48"/>
      <c r="F100" s="48"/>
      <c r="G100" s="48"/>
      <c r="H100" s="48"/>
      <c r="I100" s="48"/>
      <c r="J100" s="48"/>
      <c r="K100" s="50"/>
      <c r="L100" s="48"/>
      <c r="M100" s="48"/>
      <c r="N100" s="50"/>
      <c r="O100" s="48"/>
      <c r="P100" s="48"/>
      <c r="Q100" s="48"/>
      <c r="R100" s="48"/>
      <c r="S100" s="48"/>
      <c r="T100" s="48"/>
      <c r="U100" s="48"/>
      <c r="V100" s="48"/>
      <c r="W100" s="48"/>
      <c r="X100" s="48"/>
      <c r="Y100" s="48"/>
      <c r="Z100" s="48"/>
      <c r="AA100" s="48"/>
      <c r="AB100" s="48"/>
      <c r="AC100" s="48"/>
      <c r="AD100" s="48"/>
    </row>
    <row r="101" spans="1:30" ht="15.75" customHeight="1">
      <c r="A101" s="85"/>
      <c r="B101" s="48"/>
      <c r="C101" s="48"/>
      <c r="D101" s="48"/>
      <c r="E101" s="48"/>
      <c r="F101" s="48"/>
      <c r="G101" s="48"/>
      <c r="H101" s="48"/>
      <c r="I101" s="48"/>
      <c r="J101" s="48"/>
      <c r="K101" s="50"/>
      <c r="L101" s="48"/>
      <c r="M101" s="48"/>
      <c r="N101" s="50"/>
      <c r="O101" s="48"/>
      <c r="P101" s="48"/>
      <c r="Q101" s="48"/>
      <c r="R101" s="48"/>
      <c r="S101" s="48"/>
      <c r="T101" s="48"/>
      <c r="U101" s="48"/>
      <c r="V101" s="48"/>
      <c r="W101" s="48"/>
      <c r="X101" s="48"/>
      <c r="Y101" s="48"/>
      <c r="Z101" s="48"/>
      <c r="AA101" s="48"/>
      <c r="AB101" s="48"/>
      <c r="AC101" s="48"/>
      <c r="AD101" s="48"/>
    </row>
    <row r="102" spans="1:30" ht="15.75" customHeight="1">
      <c r="A102" s="85"/>
      <c r="B102" s="48"/>
      <c r="C102" s="48"/>
      <c r="D102" s="48"/>
      <c r="E102" s="48"/>
      <c r="F102" s="48"/>
      <c r="G102" s="48"/>
      <c r="H102" s="48"/>
      <c r="I102" s="48"/>
      <c r="J102" s="48"/>
      <c r="K102" s="50"/>
      <c r="L102" s="48"/>
      <c r="M102" s="48"/>
      <c r="N102" s="50"/>
      <c r="O102" s="48"/>
      <c r="P102" s="48"/>
      <c r="Q102" s="48"/>
      <c r="R102" s="48"/>
      <c r="S102" s="48"/>
      <c r="T102" s="48"/>
      <c r="U102" s="48"/>
      <c r="V102" s="48"/>
      <c r="W102" s="48"/>
      <c r="X102" s="48"/>
      <c r="Y102" s="48"/>
      <c r="Z102" s="48"/>
      <c r="AA102" s="48"/>
      <c r="AB102" s="48"/>
      <c r="AC102" s="48"/>
      <c r="AD102" s="48"/>
    </row>
    <row r="103" spans="1:30" ht="15.75" customHeight="1">
      <c r="A103" s="85"/>
      <c r="B103" s="48"/>
      <c r="C103" s="48"/>
      <c r="D103" s="48"/>
      <c r="E103" s="48"/>
      <c r="F103" s="48"/>
      <c r="G103" s="48"/>
      <c r="H103" s="48"/>
      <c r="I103" s="48"/>
      <c r="J103" s="48"/>
      <c r="K103" s="50"/>
      <c r="L103" s="48"/>
      <c r="M103" s="48"/>
      <c r="N103" s="50"/>
      <c r="O103" s="48"/>
      <c r="P103" s="48"/>
      <c r="Q103" s="48"/>
      <c r="R103" s="48"/>
      <c r="S103" s="48"/>
      <c r="T103" s="48"/>
      <c r="U103" s="48"/>
      <c r="V103" s="48"/>
      <c r="W103" s="48"/>
      <c r="X103" s="48"/>
      <c r="Y103" s="48"/>
      <c r="Z103" s="48"/>
      <c r="AA103" s="48"/>
      <c r="AB103" s="48"/>
      <c r="AC103" s="48"/>
      <c r="AD103" s="48"/>
    </row>
    <row r="104" spans="1:30" ht="15.75" customHeight="1">
      <c r="A104" s="85"/>
      <c r="B104" s="48"/>
      <c r="C104" s="48"/>
      <c r="D104" s="48"/>
      <c r="E104" s="48"/>
      <c r="F104" s="48"/>
      <c r="G104" s="48"/>
      <c r="H104" s="48"/>
      <c r="I104" s="48"/>
      <c r="J104" s="48"/>
      <c r="K104" s="50"/>
      <c r="L104" s="48"/>
      <c r="M104" s="48"/>
      <c r="N104" s="50"/>
      <c r="O104" s="48"/>
      <c r="P104" s="48"/>
      <c r="Q104" s="48"/>
      <c r="R104" s="48"/>
      <c r="S104" s="48"/>
      <c r="T104" s="48"/>
      <c r="U104" s="48"/>
      <c r="V104" s="48"/>
      <c r="W104" s="48"/>
      <c r="X104" s="48"/>
      <c r="Y104" s="48"/>
      <c r="Z104" s="48"/>
      <c r="AA104" s="48"/>
      <c r="AB104" s="48"/>
      <c r="AC104" s="48"/>
      <c r="AD104" s="48"/>
    </row>
    <row r="105" spans="1:30" ht="15.75" customHeight="1">
      <c r="A105" s="85"/>
      <c r="B105" s="48"/>
      <c r="C105" s="48"/>
      <c r="D105" s="48"/>
      <c r="E105" s="48"/>
      <c r="F105" s="48"/>
      <c r="G105" s="48"/>
      <c r="H105" s="48"/>
      <c r="I105" s="48"/>
      <c r="J105" s="48"/>
      <c r="K105" s="50"/>
      <c r="L105" s="48"/>
      <c r="M105" s="48"/>
      <c r="N105" s="50"/>
      <c r="O105" s="48"/>
      <c r="P105" s="48"/>
      <c r="Q105" s="48"/>
      <c r="R105" s="48"/>
      <c r="S105" s="48"/>
      <c r="T105" s="48"/>
      <c r="U105" s="48"/>
      <c r="V105" s="48"/>
      <c r="W105" s="48"/>
      <c r="X105" s="48"/>
      <c r="Y105" s="48"/>
      <c r="Z105" s="48"/>
      <c r="AA105" s="48"/>
      <c r="AB105" s="48"/>
      <c r="AC105" s="48"/>
      <c r="AD105" s="48"/>
    </row>
    <row r="106" spans="1:30" ht="15.75" customHeight="1">
      <c r="A106" s="85"/>
      <c r="B106" s="48"/>
      <c r="C106" s="48"/>
      <c r="D106" s="48"/>
      <c r="E106" s="48"/>
      <c r="F106" s="48"/>
      <c r="G106" s="48"/>
      <c r="H106" s="48"/>
      <c r="I106" s="48"/>
      <c r="J106" s="48"/>
      <c r="K106" s="50"/>
      <c r="L106" s="48"/>
      <c r="M106" s="48"/>
      <c r="N106" s="50"/>
      <c r="O106" s="48"/>
      <c r="P106" s="48"/>
      <c r="Q106" s="48"/>
      <c r="R106" s="48"/>
      <c r="S106" s="48"/>
      <c r="T106" s="48"/>
      <c r="U106" s="48"/>
      <c r="V106" s="48"/>
      <c r="W106" s="48"/>
      <c r="X106" s="48"/>
      <c r="Y106" s="48"/>
      <c r="Z106" s="48"/>
      <c r="AA106" s="48"/>
      <c r="AB106" s="48"/>
      <c r="AC106" s="48"/>
      <c r="AD106" s="48"/>
    </row>
    <row r="107" spans="1:30" ht="15.75" customHeight="1">
      <c r="A107" s="85"/>
      <c r="B107" s="48"/>
      <c r="C107" s="48"/>
      <c r="D107" s="48"/>
      <c r="E107" s="48"/>
      <c r="F107" s="48"/>
      <c r="G107" s="48"/>
      <c r="H107" s="48"/>
      <c r="I107" s="48"/>
      <c r="J107" s="48"/>
      <c r="K107" s="50"/>
      <c r="L107" s="48"/>
      <c r="M107" s="48"/>
      <c r="N107" s="50"/>
      <c r="O107" s="48"/>
      <c r="P107" s="48"/>
      <c r="Q107" s="48"/>
      <c r="R107" s="48"/>
      <c r="S107" s="48"/>
      <c r="T107" s="48"/>
      <c r="U107" s="48"/>
      <c r="V107" s="48"/>
      <c r="W107" s="48"/>
      <c r="X107" s="48"/>
      <c r="Y107" s="48"/>
      <c r="Z107" s="48"/>
      <c r="AA107" s="48"/>
      <c r="AB107" s="48"/>
      <c r="AC107" s="48"/>
      <c r="AD107" s="48"/>
    </row>
    <row r="108" spans="1:30" ht="15.75" customHeight="1">
      <c r="A108" s="85"/>
      <c r="B108" s="48"/>
      <c r="C108" s="48"/>
      <c r="D108" s="48"/>
      <c r="E108" s="48"/>
      <c r="F108" s="48"/>
      <c r="G108" s="48"/>
      <c r="H108" s="48"/>
      <c r="I108" s="48"/>
      <c r="J108" s="48"/>
      <c r="K108" s="50"/>
      <c r="L108" s="48"/>
      <c r="M108" s="48"/>
      <c r="N108" s="50"/>
      <c r="O108" s="48"/>
      <c r="P108" s="48"/>
      <c r="Q108" s="48"/>
      <c r="R108" s="48"/>
      <c r="S108" s="48"/>
      <c r="T108" s="48"/>
      <c r="U108" s="48"/>
      <c r="V108" s="48"/>
      <c r="W108" s="48"/>
      <c r="X108" s="48"/>
      <c r="Y108" s="48"/>
      <c r="Z108" s="48"/>
      <c r="AA108" s="48"/>
      <c r="AB108" s="48"/>
      <c r="AC108" s="48"/>
      <c r="AD108" s="48"/>
    </row>
    <row r="109" spans="1:30" ht="15.75" customHeight="1">
      <c r="A109" s="85"/>
      <c r="B109" s="48"/>
      <c r="C109" s="48"/>
      <c r="D109" s="48"/>
      <c r="E109" s="48"/>
      <c r="F109" s="48"/>
      <c r="G109" s="48"/>
      <c r="H109" s="48"/>
      <c r="I109" s="48"/>
      <c r="J109" s="48"/>
      <c r="K109" s="50"/>
      <c r="L109" s="48"/>
      <c r="M109" s="48"/>
      <c r="N109" s="50"/>
      <c r="O109" s="48"/>
      <c r="P109" s="48"/>
      <c r="Q109" s="48"/>
      <c r="R109" s="48"/>
      <c r="S109" s="48"/>
      <c r="T109" s="48"/>
      <c r="U109" s="48"/>
      <c r="V109" s="48"/>
      <c r="W109" s="48"/>
      <c r="X109" s="48"/>
      <c r="Y109" s="48"/>
      <c r="Z109" s="48"/>
      <c r="AA109" s="48"/>
      <c r="AB109" s="48"/>
      <c r="AC109" s="48"/>
      <c r="AD109" s="48"/>
    </row>
    <row r="110" spans="1:30" ht="15.75" customHeight="1">
      <c r="A110" s="85"/>
      <c r="B110" s="48"/>
      <c r="C110" s="48"/>
      <c r="D110" s="48"/>
      <c r="E110" s="48"/>
      <c r="F110" s="48"/>
      <c r="G110" s="48"/>
      <c r="H110" s="48"/>
      <c r="I110" s="48"/>
      <c r="J110" s="48"/>
      <c r="K110" s="50"/>
      <c r="L110" s="48"/>
      <c r="M110" s="48"/>
      <c r="N110" s="50"/>
      <c r="O110" s="48"/>
      <c r="P110" s="48"/>
      <c r="Q110" s="48"/>
      <c r="R110" s="48"/>
      <c r="S110" s="48"/>
      <c r="T110" s="48"/>
      <c r="U110" s="48"/>
      <c r="V110" s="48"/>
      <c r="W110" s="48"/>
      <c r="X110" s="48"/>
      <c r="Y110" s="48"/>
      <c r="Z110" s="48"/>
      <c r="AA110" s="48"/>
      <c r="AB110" s="48"/>
      <c r="AC110" s="48"/>
      <c r="AD110" s="48"/>
    </row>
    <row r="111" spans="1:30" ht="15.75" customHeight="1">
      <c r="A111" s="85"/>
      <c r="B111" s="48"/>
      <c r="C111" s="48"/>
      <c r="D111" s="48"/>
      <c r="E111" s="48"/>
      <c r="F111" s="48"/>
      <c r="G111" s="48"/>
      <c r="H111" s="48"/>
      <c r="I111" s="48"/>
      <c r="J111" s="48"/>
      <c r="K111" s="50"/>
      <c r="L111" s="48"/>
      <c r="M111" s="48"/>
      <c r="N111" s="50"/>
      <c r="O111" s="48"/>
      <c r="P111" s="48"/>
      <c r="Q111" s="48"/>
      <c r="R111" s="48"/>
      <c r="S111" s="48"/>
      <c r="T111" s="48"/>
      <c r="U111" s="48"/>
      <c r="V111" s="48"/>
      <c r="W111" s="48"/>
      <c r="X111" s="48"/>
      <c r="Y111" s="48"/>
      <c r="Z111" s="48"/>
      <c r="AA111" s="48"/>
      <c r="AB111" s="48"/>
      <c r="AC111" s="48"/>
      <c r="AD111" s="48"/>
    </row>
    <row r="112" spans="1:30" ht="15.75" customHeight="1">
      <c r="A112" s="85"/>
      <c r="B112" s="48"/>
      <c r="C112" s="48"/>
      <c r="D112" s="48"/>
      <c r="E112" s="48"/>
      <c r="F112" s="48"/>
      <c r="G112" s="48"/>
      <c r="H112" s="48"/>
      <c r="I112" s="48"/>
      <c r="J112" s="48"/>
      <c r="K112" s="50"/>
      <c r="L112" s="48"/>
      <c r="M112" s="48"/>
      <c r="N112" s="50"/>
      <c r="O112" s="48"/>
      <c r="P112" s="48"/>
      <c r="Q112" s="48"/>
      <c r="R112" s="48"/>
      <c r="S112" s="48"/>
      <c r="T112" s="48"/>
      <c r="U112" s="48"/>
      <c r="V112" s="48"/>
      <c r="W112" s="48"/>
      <c r="X112" s="48"/>
      <c r="Y112" s="48"/>
      <c r="Z112" s="48"/>
      <c r="AA112" s="48"/>
      <c r="AB112" s="48"/>
      <c r="AC112" s="48"/>
      <c r="AD112" s="48"/>
    </row>
    <row r="113" spans="1:30" ht="15.75" customHeight="1">
      <c r="A113" s="85"/>
      <c r="B113" s="48"/>
      <c r="C113" s="48"/>
      <c r="D113" s="48"/>
      <c r="E113" s="48"/>
      <c r="F113" s="48"/>
      <c r="G113" s="48"/>
      <c r="H113" s="48"/>
      <c r="I113" s="48"/>
      <c r="J113" s="48"/>
      <c r="K113" s="50"/>
      <c r="L113" s="48"/>
      <c r="M113" s="48"/>
      <c r="N113" s="50"/>
      <c r="O113" s="48"/>
      <c r="P113" s="48"/>
      <c r="Q113" s="48"/>
      <c r="R113" s="48"/>
      <c r="S113" s="48"/>
      <c r="T113" s="48"/>
      <c r="U113" s="48"/>
      <c r="V113" s="48"/>
      <c r="W113" s="48"/>
      <c r="X113" s="48"/>
      <c r="Y113" s="48"/>
      <c r="Z113" s="48"/>
      <c r="AA113" s="48"/>
      <c r="AB113" s="48"/>
      <c r="AC113" s="48"/>
      <c r="AD113" s="48"/>
    </row>
    <row r="114" spans="1:30" ht="15.75" customHeight="1">
      <c r="A114" s="85"/>
      <c r="B114" s="48"/>
      <c r="C114" s="48"/>
      <c r="D114" s="48"/>
      <c r="E114" s="48"/>
      <c r="F114" s="48"/>
      <c r="G114" s="48"/>
      <c r="H114" s="48"/>
      <c r="I114" s="48"/>
      <c r="J114" s="48"/>
      <c r="K114" s="50"/>
      <c r="L114" s="48"/>
      <c r="M114" s="48"/>
      <c r="N114" s="50"/>
      <c r="O114" s="48"/>
      <c r="P114" s="48"/>
      <c r="Q114" s="48"/>
      <c r="R114" s="48"/>
      <c r="S114" s="48"/>
      <c r="T114" s="48"/>
      <c r="U114" s="48"/>
      <c r="V114" s="48"/>
      <c r="W114" s="48"/>
      <c r="X114" s="48"/>
      <c r="Y114" s="48"/>
      <c r="Z114" s="48"/>
      <c r="AA114" s="48"/>
      <c r="AB114" s="48"/>
      <c r="AC114" s="48"/>
      <c r="AD114" s="48"/>
    </row>
    <row r="115" spans="1:30" ht="15.75" customHeight="1">
      <c r="A115" s="85"/>
      <c r="B115" s="48"/>
      <c r="C115" s="48"/>
      <c r="D115" s="48"/>
      <c r="E115" s="48"/>
      <c r="F115" s="48"/>
      <c r="G115" s="48"/>
      <c r="H115" s="48"/>
      <c r="I115" s="48"/>
      <c r="J115" s="48"/>
      <c r="K115" s="50"/>
      <c r="L115" s="48"/>
      <c r="M115" s="48"/>
      <c r="N115" s="50"/>
      <c r="O115" s="48"/>
      <c r="P115" s="48"/>
      <c r="Q115" s="48"/>
      <c r="R115" s="48"/>
      <c r="S115" s="48"/>
      <c r="T115" s="48"/>
      <c r="U115" s="48"/>
      <c r="V115" s="48"/>
      <c r="W115" s="48"/>
      <c r="X115" s="48"/>
      <c r="Y115" s="48"/>
      <c r="Z115" s="48"/>
      <c r="AA115" s="48"/>
      <c r="AB115" s="48"/>
      <c r="AC115" s="48"/>
      <c r="AD115" s="48"/>
    </row>
    <row r="116" spans="1:30" ht="15.75" customHeight="1">
      <c r="A116" s="85"/>
      <c r="B116" s="48"/>
      <c r="C116" s="48"/>
      <c r="D116" s="48"/>
      <c r="E116" s="48"/>
      <c r="F116" s="48"/>
      <c r="G116" s="48"/>
      <c r="H116" s="48"/>
      <c r="I116" s="48"/>
      <c r="J116" s="48"/>
      <c r="K116" s="50"/>
      <c r="L116" s="48"/>
      <c r="M116" s="48"/>
      <c r="N116" s="50"/>
      <c r="O116" s="48"/>
      <c r="P116" s="48"/>
      <c r="Q116" s="48"/>
      <c r="R116" s="48"/>
      <c r="S116" s="48"/>
      <c r="T116" s="48"/>
      <c r="U116" s="48"/>
      <c r="V116" s="48"/>
      <c r="W116" s="48"/>
      <c r="X116" s="48"/>
      <c r="Y116" s="48"/>
      <c r="Z116" s="48"/>
      <c r="AA116" s="48"/>
      <c r="AB116" s="48"/>
      <c r="AC116" s="48"/>
      <c r="AD116" s="48"/>
    </row>
    <row r="117" spans="1:30" ht="15.75" customHeight="1">
      <c r="A117" s="85"/>
      <c r="B117" s="48"/>
      <c r="C117" s="48"/>
      <c r="D117" s="48"/>
      <c r="E117" s="48"/>
      <c r="F117" s="48"/>
      <c r="G117" s="48"/>
      <c r="H117" s="48"/>
      <c r="I117" s="48"/>
      <c r="J117" s="48"/>
      <c r="K117" s="50"/>
      <c r="L117" s="48"/>
      <c r="M117" s="48"/>
      <c r="N117" s="50"/>
      <c r="O117" s="48"/>
      <c r="P117" s="48"/>
      <c r="Q117" s="48"/>
      <c r="R117" s="48"/>
      <c r="S117" s="48"/>
      <c r="T117" s="48"/>
      <c r="U117" s="48"/>
      <c r="V117" s="48"/>
      <c r="W117" s="48"/>
      <c r="X117" s="48"/>
      <c r="Y117" s="48"/>
      <c r="Z117" s="48"/>
      <c r="AA117" s="48"/>
      <c r="AB117" s="48"/>
      <c r="AC117" s="48"/>
      <c r="AD117" s="48"/>
    </row>
    <row r="118" spans="1:30" ht="15.75" customHeight="1">
      <c r="A118" s="85"/>
      <c r="B118" s="48"/>
      <c r="C118" s="48"/>
      <c r="D118" s="48"/>
      <c r="E118" s="48"/>
      <c r="F118" s="48"/>
      <c r="G118" s="48"/>
      <c r="H118" s="48"/>
      <c r="I118" s="48"/>
      <c r="J118" s="48"/>
      <c r="K118" s="50"/>
      <c r="L118" s="48"/>
      <c r="M118" s="48"/>
      <c r="N118" s="50"/>
      <c r="O118" s="48"/>
      <c r="P118" s="48"/>
      <c r="Q118" s="48"/>
      <c r="R118" s="48"/>
      <c r="S118" s="48"/>
      <c r="T118" s="48"/>
      <c r="U118" s="48"/>
      <c r="V118" s="48"/>
      <c r="W118" s="48"/>
      <c r="X118" s="48"/>
      <c r="Y118" s="48"/>
      <c r="Z118" s="48"/>
      <c r="AA118" s="48"/>
      <c r="AB118" s="48"/>
      <c r="AC118" s="48"/>
      <c r="AD118" s="48"/>
    </row>
    <row r="119" spans="1:30" ht="15.75" customHeight="1">
      <c r="A119" s="85"/>
      <c r="B119" s="48"/>
      <c r="C119" s="48"/>
      <c r="D119" s="48"/>
      <c r="E119" s="48"/>
      <c r="F119" s="48"/>
      <c r="G119" s="48"/>
      <c r="H119" s="48"/>
      <c r="I119" s="48"/>
      <c r="J119" s="48"/>
      <c r="K119" s="50"/>
      <c r="L119" s="48"/>
      <c r="M119" s="48"/>
      <c r="N119" s="50"/>
      <c r="O119" s="48"/>
      <c r="P119" s="48"/>
      <c r="Q119" s="48"/>
      <c r="R119" s="48"/>
      <c r="S119" s="48"/>
      <c r="T119" s="48"/>
      <c r="U119" s="48"/>
      <c r="V119" s="48"/>
      <c r="W119" s="48"/>
      <c r="X119" s="48"/>
      <c r="Y119" s="48"/>
      <c r="Z119" s="48"/>
      <c r="AA119" s="48"/>
      <c r="AB119" s="48"/>
      <c r="AC119" s="48"/>
      <c r="AD119" s="48"/>
    </row>
    <row r="120" spans="1:30" ht="15.75" customHeight="1">
      <c r="A120" s="85"/>
      <c r="B120" s="48"/>
      <c r="C120" s="48"/>
      <c r="D120" s="48"/>
      <c r="E120" s="48"/>
      <c r="F120" s="48"/>
      <c r="G120" s="48"/>
      <c r="H120" s="48"/>
      <c r="I120" s="48"/>
      <c r="J120" s="48"/>
      <c r="K120" s="50"/>
      <c r="L120" s="48"/>
      <c r="M120" s="48"/>
      <c r="N120" s="50"/>
      <c r="O120" s="48"/>
      <c r="P120" s="48"/>
      <c r="Q120" s="48"/>
      <c r="R120" s="48"/>
      <c r="S120" s="48"/>
      <c r="T120" s="48"/>
      <c r="U120" s="48"/>
      <c r="V120" s="48"/>
      <c r="W120" s="48"/>
      <c r="X120" s="48"/>
      <c r="Y120" s="48"/>
      <c r="Z120" s="48"/>
      <c r="AA120" s="48"/>
      <c r="AB120" s="48"/>
      <c r="AC120" s="48"/>
      <c r="AD120" s="48"/>
    </row>
    <row r="121" spans="1:30" ht="15.75" customHeight="1">
      <c r="A121" s="85"/>
      <c r="B121" s="48"/>
      <c r="C121" s="48"/>
      <c r="D121" s="48"/>
      <c r="E121" s="48"/>
      <c r="F121" s="48"/>
      <c r="G121" s="48"/>
      <c r="H121" s="48"/>
      <c r="I121" s="48"/>
      <c r="J121" s="48"/>
      <c r="K121" s="50"/>
      <c r="L121" s="48"/>
      <c r="M121" s="48"/>
      <c r="N121" s="50"/>
      <c r="O121" s="48"/>
      <c r="P121" s="48"/>
      <c r="Q121" s="48"/>
      <c r="R121" s="48"/>
      <c r="S121" s="48"/>
      <c r="T121" s="48"/>
      <c r="U121" s="48"/>
      <c r="V121" s="48"/>
      <c r="W121" s="48"/>
      <c r="X121" s="48"/>
      <c r="Y121" s="48"/>
      <c r="Z121" s="48"/>
      <c r="AA121" s="48"/>
      <c r="AB121" s="48"/>
      <c r="AC121" s="48"/>
      <c r="AD121" s="48"/>
    </row>
    <row r="122" spans="1:30" ht="15.75" customHeight="1">
      <c r="A122" s="85"/>
      <c r="B122" s="48"/>
      <c r="C122" s="48"/>
      <c r="D122" s="48"/>
      <c r="E122" s="48"/>
      <c r="F122" s="48"/>
      <c r="G122" s="48"/>
      <c r="H122" s="48"/>
      <c r="I122" s="48"/>
      <c r="J122" s="48"/>
      <c r="K122" s="50"/>
      <c r="L122" s="48"/>
      <c r="M122" s="48"/>
      <c r="N122" s="50"/>
      <c r="O122" s="48"/>
      <c r="P122" s="48"/>
      <c r="Q122" s="48"/>
      <c r="R122" s="48"/>
      <c r="S122" s="48"/>
      <c r="T122" s="48"/>
      <c r="U122" s="48"/>
      <c r="V122" s="48"/>
      <c r="W122" s="48"/>
      <c r="X122" s="48"/>
      <c r="Y122" s="48"/>
      <c r="Z122" s="48"/>
      <c r="AA122" s="48"/>
      <c r="AB122" s="48"/>
      <c r="AC122" s="48"/>
      <c r="AD122" s="48"/>
    </row>
    <row r="123" spans="1:30" ht="15.75" customHeight="1">
      <c r="A123" s="85"/>
      <c r="B123" s="48"/>
      <c r="C123" s="48"/>
      <c r="D123" s="48"/>
      <c r="E123" s="48"/>
      <c r="F123" s="48"/>
      <c r="G123" s="48"/>
      <c r="H123" s="48"/>
      <c r="I123" s="48"/>
      <c r="J123" s="48"/>
      <c r="K123" s="50"/>
      <c r="L123" s="48"/>
      <c r="M123" s="48"/>
      <c r="N123" s="50"/>
      <c r="O123" s="48"/>
      <c r="P123" s="48"/>
      <c r="Q123" s="48"/>
      <c r="R123" s="48"/>
      <c r="S123" s="48"/>
      <c r="T123" s="48"/>
      <c r="U123" s="48"/>
      <c r="V123" s="48"/>
      <c r="W123" s="48"/>
      <c r="X123" s="48"/>
      <c r="Y123" s="48"/>
      <c r="Z123" s="48"/>
      <c r="AA123" s="48"/>
      <c r="AB123" s="48"/>
      <c r="AC123" s="48"/>
      <c r="AD123" s="48"/>
    </row>
    <row r="124" spans="1:30" ht="15.75" customHeight="1">
      <c r="A124" s="85"/>
      <c r="B124" s="48"/>
      <c r="C124" s="48"/>
      <c r="D124" s="48"/>
      <c r="E124" s="48"/>
      <c r="F124" s="48"/>
      <c r="G124" s="48"/>
      <c r="H124" s="48"/>
      <c r="I124" s="48"/>
      <c r="J124" s="48"/>
      <c r="K124" s="50"/>
      <c r="L124" s="48"/>
      <c r="M124" s="48"/>
      <c r="N124" s="50"/>
      <c r="O124" s="48"/>
      <c r="P124" s="48"/>
      <c r="Q124" s="48"/>
      <c r="R124" s="48"/>
      <c r="S124" s="48"/>
      <c r="T124" s="48"/>
      <c r="U124" s="48"/>
      <c r="V124" s="48"/>
      <c r="W124" s="48"/>
      <c r="X124" s="48"/>
      <c r="Y124" s="48"/>
      <c r="Z124" s="48"/>
      <c r="AA124" s="48"/>
      <c r="AB124" s="48"/>
      <c r="AC124" s="48"/>
      <c r="AD124" s="48"/>
    </row>
    <row r="125" spans="1:30" ht="15.75" customHeight="1">
      <c r="A125" s="85"/>
      <c r="B125" s="48"/>
      <c r="C125" s="48"/>
      <c r="D125" s="48"/>
      <c r="E125" s="48"/>
      <c r="F125" s="48"/>
      <c r="G125" s="48"/>
      <c r="H125" s="48"/>
      <c r="I125" s="48"/>
      <c r="J125" s="48"/>
      <c r="K125" s="50"/>
      <c r="L125" s="48"/>
      <c r="M125" s="48"/>
      <c r="N125" s="50"/>
      <c r="O125" s="48"/>
      <c r="P125" s="48"/>
      <c r="Q125" s="48"/>
      <c r="R125" s="48"/>
      <c r="S125" s="48"/>
      <c r="T125" s="48"/>
      <c r="U125" s="48"/>
      <c r="V125" s="48"/>
      <c r="W125" s="48"/>
      <c r="X125" s="48"/>
      <c r="Y125" s="48"/>
      <c r="Z125" s="48"/>
      <c r="AA125" s="48"/>
      <c r="AB125" s="48"/>
      <c r="AC125" s="48"/>
      <c r="AD125" s="48"/>
    </row>
    <row r="126" spans="1:30" ht="15.75" customHeight="1">
      <c r="A126" s="85"/>
      <c r="B126" s="48"/>
      <c r="C126" s="48"/>
      <c r="D126" s="48"/>
      <c r="E126" s="48"/>
      <c r="F126" s="48"/>
      <c r="G126" s="48"/>
      <c r="H126" s="48"/>
      <c r="I126" s="48"/>
      <c r="J126" s="48"/>
      <c r="K126" s="50"/>
      <c r="L126" s="48"/>
      <c r="M126" s="48"/>
      <c r="N126" s="50"/>
      <c r="O126" s="48"/>
      <c r="P126" s="48"/>
      <c r="Q126" s="48"/>
      <c r="R126" s="48"/>
      <c r="S126" s="48"/>
      <c r="T126" s="48"/>
      <c r="U126" s="48"/>
      <c r="V126" s="48"/>
      <c r="W126" s="48"/>
      <c r="X126" s="48"/>
      <c r="Y126" s="48"/>
      <c r="Z126" s="48"/>
      <c r="AA126" s="48"/>
      <c r="AB126" s="48"/>
      <c r="AC126" s="48"/>
      <c r="AD126" s="48"/>
    </row>
    <row r="127" spans="1:30" ht="15.75" customHeight="1">
      <c r="A127" s="85"/>
      <c r="B127" s="48"/>
      <c r="C127" s="48"/>
      <c r="D127" s="48"/>
      <c r="E127" s="48"/>
      <c r="F127" s="48"/>
      <c r="G127" s="48"/>
      <c r="H127" s="48"/>
      <c r="I127" s="48"/>
      <c r="J127" s="48"/>
      <c r="K127" s="50"/>
      <c r="L127" s="48"/>
      <c r="M127" s="48"/>
      <c r="N127" s="50"/>
      <c r="O127" s="48"/>
      <c r="P127" s="48"/>
      <c r="Q127" s="48"/>
      <c r="R127" s="48"/>
      <c r="S127" s="48"/>
      <c r="T127" s="48"/>
      <c r="U127" s="48"/>
      <c r="V127" s="48"/>
      <c r="W127" s="48"/>
      <c r="X127" s="48"/>
      <c r="Y127" s="48"/>
      <c r="Z127" s="48"/>
      <c r="AA127" s="48"/>
      <c r="AB127" s="48"/>
      <c r="AC127" s="48"/>
      <c r="AD127" s="48"/>
    </row>
    <row r="128" spans="1:30" ht="15.75" customHeight="1">
      <c r="A128" s="85"/>
      <c r="B128" s="48"/>
      <c r="C128" s="48"/>
      <c r="D128" s="48"/>
      <c r="E128" s="48"/>
      <c r="F128" s="48"/>
      <c r="G128" s="48"/>
      <c r="H128" s="48"/>
      <c r="I128" s="48"/>
      <c r="J128" s="48"/>
      <c r="K128" s="50"/>
      <c r="L128" s="48"/>
      <c r="M128" s="48"/>
      <c r="N128" s="50"/>
      <c r="O128" s="48"/>
      <c r="P128" s="48"/>
      <c r="Q128" s="48"/>
      <c r="R128" s="48"/>
      <c r="S128" s="48"/>
      <c r="T128" s="48"/>
      <c r="U128" s="48"/>
      <c r="V128" s="48"/>
      <c r="W128" s="48"/>
      <c r="X128" s="48"/>
      <c r="Y128" s="48"/>
      <c r="Z128" s="48"/>
      <c r="AA128" s="48"/>
      <c r="AB128" s="48"/>
      <c r="AC128" s="48"/>
      <c r="AD128" s="48"/>
    </row>
    <row r="129" spans="1:30" ht="15.75" customHeight="1">
      <c r="A129" s="85"/>
      <c r="B129" s="48"/>
      <c r="C129" s="48"/>
      <c r="D129" s="48"/>
      <c r="E129" s="48"/>
      <c r="F129" s="48"/>
      <c r="G129" s="48"/>
      <c r="H129" s="48"/>
      <c r="I129" s="48"/>
      <c r="J129" s="48"/>
      <c r="K129" s="50"/>
      <c r="L129" s="48"/>
      <c r="M129" s="48"/>
      <c r="N129" s="50"/>
      <c r="O129" s="48"/>
      <c r="P129" s="48"/>
      <c r="Q129" s="48"/>
      <c r="R129" s="48"/>
      <c r="S129" s="48"/>
      <c r="T129" s="48"/>
      <c r="U129" s="48"/>
      <c r="V129" s="48"/>
      <c r="W129" s="48"/>
      <c r="X129" s="48"/>
      <c r="Y129" s="48"/>
      <c r="Z129" s="48"/>
      <c r="AA129" s="48"/>
      <c r="AB129" s="48"/>
      <c r="AC129" s="48"/>
      <c r="AD129" s="48"/>
    </row>
    <row r="130" spans="1:30" ht="15.75" customHeight="1">
      <c r="A130" s="85"/>
      <c r="B130" s="48"/>
      <c r="C130" s="48"/>
      <c r="D130" s="48"/>
      <c r="E130" s="48"/>
      <c r="F130" s="48"/>
      <c r="G130" s="48"/>
      <c r="H130" s="48"/>
      <c r="I130" s="48"/>
      <c r="J130" s="48"/>
      <c r="K130" s="50"/>
      <c r="L130" s="48"/>
      <c r="M130" s="48"/>
      <c r="N130" s="50"/>
      <c r="O130" s="48"/>
      <c r="P130" s="48"/>
      <c r="Q130" s="48"/>
      <c r="R130" s="48"/>
      <c r="S130" s="48"/>
      <c r="T130" s="48"/>
      <c r="U130" s="48"/>
      <c r="V130" s="48"/>
      <c r="W130" s="48"/>
      <c r="X130" s="48"/>
      <c r="Y130" s="48"/>
      <c r="Z130" s="48"/>
      <c r="AA130" s="48"/>
      <c r="AB130" s="48"/>
      <c r="AC130" s="48"/>
      <c r="AD130" s="48"/>
    </row>
    <row r="131" spans="1:30" ht="15.75" customHeight="1">
      <c r="A131" s="85"/>
      <c r="B131" s="48"/>
      <c r="C131" s="48"/>
      <c r="D131" s="48"/>
      <c r="E131" s="48"/>
      <c r="F131" s="48"/>
      <c r="G131" s="48"/>
      <c r="H131" s="48"/>
      <c r="I131" s="48"/>
      <c r="J131" s="48"/>
      <c r="K131" s="50"/>
      <c r="L131" s="48"/>
      <c r="M131" s="48"/>
      <c r="N131" s="50"/>
      <c r="O131" s="48"/>
      <c r="P131" s="48"/>
      <c r="Q131" s="48"/>
      <c r="R131" s="48"/>
      <c r="S131" s="48"/>
      <c r="T131" s="48"/>
      <c r="U131" s="48"/>
      <c r="V131" s="48"/>
      <c r="W131" s="48"/>
      <c r="X131" s="48"/>
      <c r="Y131" s="48"/>
      <c r="Z131" s="48"/>
      <c r="AA131" s="48"/>
      <c r="AB131" s="48"/>
      <c r="AC131" s="48"/>
      <c r="AD131" s="48"/>
    </row>
    <row r="132" spans="1:30" ht="15.75" customHeight="1">
      <c r="A132" s="85"/>
      <c r="B132" s="48"/>
      <c r="C132" s="48"/>
      <c r="D132" s="48"/>
      <c r="E132" s="48"/>
      <c r="F132" s="48"/>
      <c r="G132" s="48"/>
      <c r="H132" s="48"/>
      <c r="I132" s="48"/>
      <c r="J132" s="48"/>
      <c r="K132" s="50"/>
      <c r="L132" s="48"/>
      <c r="M132" s="48"/>
      <c r="N132" s="50"/>
      <c r="O132" s="48"/>
      <c r="P132" s="48"/>
      <c r="Q132" s="48"/>
      <c r="R132" s="48"/>
      <c r="S132" s="48"/>
      <c r="T132" s="48"/>
      <c r="U132" s="48"/>
      <c r="V132" s="48"/>
      <c r="W132" s="48"/>
      <c r="X132" s="48"/>
      <c r="Y132" s="48"/>
      <c r="Z132" s="48"/>
      <c r="AA132" s="48"/>
      <c r="AB132" s="48"/>
      <c r="AC132" s="48"/>
      <c r="AD132" s="48"/>
    </row>
    <row r="133" spans="1:30" ht="15.75" customHeight="1">
      <c r="A133" s="85"/>
      <c r="B133" s="48"/>
      <c r="C133" s="48"/>
      <c r="D133" s="48"/>
      <c r="E133" s="48"/>
      <c r="F133" s="48"/>
      <c r="G133" s="48"/>
      <c r="H133" s="48"/>
      <c r="I133" s="48"/>
      <c r="J133" s="48"/>
      <c r="K133" s="50"/>
      <c r="L133" s="48"/>
      <c r="M133" s="48"/>
      <c r="N133" s="50"/>
      <c r="O133" s="48"/>
      <c r="P133" s="48"/>
      <c r="Q133" s="48"/>
      <c r="R133" s="48"/>
      <c r="S133" s="48"/>
      <c r="T133" s="48"/>
      <c r="U133" s="48"/>
      <c r="V133" s="48"/>
      <c r="W133" s="48"/>
      <c r="X133" s="48"/>
      <c r="Y133" s="48"/>
      <c r="Z133" s="48"/>
      <c r="AA133" s="48"/>
      <c r="AB133" s="48"/>
      <c r="AC133" s="48"/>
      <c r="AD133" s="48"/>
    </row>
    <row r="134" spans="1:30" ht="15.75" customHeight="1">
      <c r="A134" s="85"/>
      <c r="B134" s="48"/>
      <c r="C134" s="48"/>
      <c r="D134" s="48"/>
      <c r="E134" s="48"/>
      <c r="F134" s="48"/>
      <c r="G134" s="48"/>
      <c r="H134" s="48"/>
      <c r="I134" s="48"/>
      <c r="J134" s="48"/>
      <c r="K134" s="50"/>
      <c r="L134" s="48"/>
      <c r="M134" s="48"/>
      <c r="N134" s="50"/>
      <c r="O134" s="48"/>
      <c r="P134" s="48"/>
      <c r="Q134" s="48"/>
      <c r="R134" s="48"/>
      <c r="S134" s="48"/>
      <c r="T134" s="48"/>
      <c r="U134" s="48"/>
      <c r="V134" s="48"/>
      <c r="W134" s="48"/>
      <c r="X134" s="48"/>
      <c r="Y134" s="48"/>
      <c r="Z134" s="48"/>
      <c r="AA134" s="48"/>
      <c r="AB134" s="48"/>
      <c r="AC134" s="48"/>
      <c r="AD134" s="48"/>
    </row>
    <row r="135" spans="1:30" ht="15.75" customHeight="1">
      <c r="A135" s="85"/>
      <c r="B135" s="48"/>
      <c r="C135" s="48"/>
      <c r="D135" s="48"/>
      <c r="E135" s="48"/>
      <c r="F135" s="48"/>
      <c r="G135" s="48"/>
      <c r="H135" s="48"/>
      <c r="I135" s="48"/>
      <c r="J135" s="48"/>
      <c r="K135" s="50"/>
      <c r="L135" s="48"/>
      <c r="M135" s="48"/>
      <c r="N135" s="50"/>
      <c r="O135" s="48"/>
      <c r="P135" s="48"/>
      <c r="Q135" s="48"/>
      <c r="R135" s="48"/>
      <c r="S135" s="48"/>
      <c r="T135" s="48"/>
      <c r="U135" s="48"/>
      <c r="V135" s="48"/>
      <c r="W135" s="48"/>
      <c r="X135" s="48"/>
      <c r="Y135" s="48"/>
      <c r="Z135" s="48"/>
      <c r="AA135" s="48"/>
      <c r="AB135" s="48"/>
      <c r="AC135" s="48"/>
      <c r="AD135" s="48"/>
    </row>
    <row r="136" spans="1:30" ht="15.75" customHeight="1">
      <c r="A136" s="85"/>
      <c r="B136" s="48"/>
      <c r="C136" s="48"/>
      <c r="D136" s="48"/>
      <c r="E136" s="48"/>
      <c r="F136" s="48"/>
      <c r="G136" s="48"/>
      <c r="H136" s="48"/>
      <c r="I136" s="48"/>
      <c r="J136" s="48"/>
      <c r="K136" s="50"/>
      <c r="L136" s="48"/>
      <c r="M136" s="48"/>
      <c r="N136" s="50"/>
      <c r="O136" s="48"/>
      <c r="P136" s="48"/>
      <c r="Q136" s="48"/>
      <c r="R136" s="48"/>
      <c r="S136" s="48"/>
      <c r="T136" s="48"/>
      <c r="U136" s="48"/>
      <c r="V136" s="48"/>
      <c r="W136" s="48"/>
      <c r="X136" s="48"/>
      <c r="Y136" s="48"/>
      <c r="Z136" s="48"/>
      <c r="AA136" s="48"/>
      <c r="AB136" s="48"/>
      <c r="AC136" s="48"/>
      <c r="AD136" s="48"/>
    </row>
    <row r="137" spans="1:30" ht="15.75" customHeight="1">
      <c r="A137" s="85"/>
      <c r="B137" s="48"/>
      <c r="C137" s="48"/>
      <c r="D137" s="48"/>
      <c r="E137" s="48"/>
      <c r="F137" s="48"/>
      <c r="G137" s="48"/>
      <c r="H137" s="48"/>
      <c r="I137" s="48"/>
      <c r="J137" s="48"/>
      <c r="K137" s="50"/>
      <c r="L137" s="48"/>
      <c r="M137" s="48"/>
      <c r="N137" s="50"/>
      <c r="O137" s="48"/>
      <c r="P137" s="48"/>
      <c r="Q137" s="48"/>
      <c r="R137" s="48"/>
      <c r="S137" s="48"/>
      <c r="T137" s="48"/>
      <c r="U137" s="48"/>
      <c r="V137" s="48"/>
      <c r="W137" s="48"/>
      <c r="X137" s="48"/>
      <c r="Y137" s="48"/>
      <c r="Z137" s="48"/>
      <c r="AA137" s="48"/>
      <c r="AB137" s="48"/>
      <c r="AC137" s="48"/>
      <c r="AD137" s="48"/>
    </row>
    <row r="138" spans="1:30" ht="15.75" customHeight="1">
      <c r="A138" s="85"/>
      <c r="B138" s="48"/>
      <c r="C138" s="48"/>
      <c r="D138" s="48"/>
      <c r="E138" s="48"/>
      <c r="F138" s="48"/>
      <c r="G138" s="48"/>
      <c r="H138" s="48"/>
      <c r="I138" s="48"/>
      <c r="J138" s="48"/>
      <c r="K138" s="50"/>
      <c r="L138" s="48"/>
      <c r="M138" s="48"/>
      <c r="N138" s="50"/>
      <c r="O138" s="48"/>
      <c r="P138" s="48"/>
      <c r="Q138" s="48"/>
      <c r="R138" s="48"/>
      <c r="S138" s="48"/>
      <c r="T138" s="48"/>
      <c r="U138" s="48"/>
      <c r="V138" s="48"/>
      <c r="W138" s="48"/>
      <c r="X138" s="48"/>
      <c r="Y138" s="48"/>
      <c r="Z138" s="48"/>
      <c r="AA138" s="48"/>
      <c r="AB138" s="48"/>
      <c r="AC138" s="48"/>
      <c r="AD138" s="48"/>
    </row>
    <row r="139" spans="1:30" ht="15.75" customHeight="1">
      <c r="A139" s="85"/>
      <c r="B139" s="48"/>
      <c r="C139" s="48"/>
      <c r="D139" s="48"/>
      <c r="E139" s="48"/>
      <c r="F139" s="48"/>
      <c r="G139" s="48"/>
      <c r="H139" s="48"/>
      <c r="I139" s="48"/>
      <c r="J139" s="48"/>
      <c r="K139" s="50"/>
      <c r="L139" s="48"/>
      <c r="M139" s="48"/>
      <c r="N139" s="50"/>
      <c r="O139" s="48"/>
      <c r="P139" s="48"/>
      <c r="Q139" s="48"/>
      <c r="R139" s="48"/>
      <c r="S139" s="48"/>
      <c r="T139" s="48"/>
      <c r="U139" s="48"/>
      <c r="V139" s="48"/>
      <c r="W139" s="48"/>
      <c r="X139" s="48"/>
      <c r="Y139" s="48"/>
      <c r="Z139" s="48"/>
      <c r="AA139" s="48"/>
      <c r="AB139" s="48"/>
      <c r="AC139" s="48"/>
      <c r="AD139" s="48"/>
    </row>
    <row r="140" spans="1:30" ht="15.75" customHeight="1">
      <c r="A140" s="85"/>
      <c r="B140" s="48"/>
      <c r="C140" s="48"/>
      <c r="D140" s="48"/>
      <c r="E140" s="48"/>
      <c r="F140" s="48"/>
      <c r="G140" s="48"/>
      <c r="H140" s="48"/>
      <c r="I140" s="48"/>
      <c r="J140" s="48"/>
      <c r="K140" s="50"/>
      <c r="L140" s="48"/>
      <c r="M140" s="48"/>
      <c r="N140" s="50"/>
      <c r="O140" s="48"/>
      <c r="P140" s="48"/>
      <c r="Q140" s="48"/>
      <c r="R140" s="48"/>
      <c r="S140" s="48"/>
      <c r="T140" s="48"/>
      <c r="U140" s="48"/>
      <c r="V140" s="48"/>
      <c r="W140" s="48"/>
      <c r="X140" s="48"/>
      <c r="Y140" s="48"/>
      <c r="Z140" s="48"/>
      <c r="AA140" s="48"/>
      <c r="AB140" s="48"/>
      <c r="AC140" s="48"/>
      <c r="AD140" s="48"/>
    </row>
    <row r="141" spans="1:30" ht="15.75" customHeight="1">
      <c r="A141" s="85"/>
      <c r="B141" s="48"/>
      <c r="C141" s="48"/>
      <c r="D141" s="48"/>
      <c r="E141" s="48"/>
      <c r="F141" s="48"/>
      <c r="G141" s="48"/>
      <c r="H141" s="48"/>
      <c r="I141" s="48"/>
      <c r="J141" s="48"/>
      <c r="K141" s="50"/>
      <c r="L141" s="48"/>
      <c r="M141" s="48"/>
      <c r="N141" s="50"/>
      <c r="O141" s="48"/>
      <c r="P141" s="48"/>
      <c r="Q141" s="48"/>
      <c r="R141" s="48"/>
      <c r="S141" s="48"/>
      <c r="T141" s="48"/>
      <c r="U141" s="48"/>
      <c r="V141" s="48"/>
      <c r="W141" s="48"/>
      <c r="X141" s="48"/>
      <c r="Y141" s="48"/>
      <c r="Z141" s="48"/>
      <c r="AA141" s="48"/>
      <c r="AB141" s="48"/>
      <c r="AC141" s="48"/>
      <c r="AD141" s="48"/>
    </row>
    <row r="142" spans="1:30" ht="15.75" customHeight="1">
      <c r="A142" s="85"/>
      <c r="B142" s="48"/>
      <c r="C142" s="48"/>
      <c r="D142" s="48"/>
      <c r="E142" s="48"/>
      <c r="F142" s="48"/>
      <c r="G142" s="48"/>
      <c r="H142" s="48"/>
      <c r="I142" s="48"/>
      <c r="J142" s="48"/>
      <c r="K142" s="50"/>
      <c r="L142" s="48"/>
      <c r="M142" s="48"/>
      <c r="N142" s="50"/>
      <c r="O142" s="48"/>
      <c r="P142" s="48"/>
      <c r="Q142" s="48"/>
      <c r="R142" s="48"/>
      <c r="S142" s="48"/>
      <c r="T142" s="48"/>
      <c r="U142" s="48"/>
      <c r="V142" s="48"/>
      <c r="W142" s="48"/>
      <c r="X142" s="48"/>
      <c r="Y142" s="48"/>
      <c r="Z142" s="48"/>
      <c r="AA142" s="48"/>
      <c r="AB142" s="48"/>
      <c r="AC142" s="48"/>
      <c r="AD142" s="48"/>
    </row>
    <row r="143" spans="1:30" ht="15.75" customHeight="1">
      <c r="A143" s="85"/>
      <c r="B143" s="48"/>
      <c r="C143" s="48"/>
      <c r="D143" s="48"/>
      <c r="E143" s="48"/>
      <c r="F143" s="48"/>
      <c r="G143" s="48"/>
      <c r="H143" s="48"/>
      <c r="I143" s="48"/>
      <c r="J143" s="48"/>
      <c r="K143" s="50"/>
      <c r="L143" s="48"/>
      <c r="M143" s="48"/>
      <c r="N143" s="50"/>
      <c r="O143" s="48"/>
      <c r="P143" s="48"/>
      <c r="Q143" s="48"/>
      <c r="R143" s="48"/>
      <c r="S143" s="48"/>
      <c r="T143" s="48"/>
      <c r="U143" s="48"/>
      <c r="V143" s="48"/>
      <c r="W143" s="48"/>
      <c r="X143" s="48"/>
      <c r="Y143" s="48"/>
      <c r="Z143" s="48"/>
      <c r="AA143" s="48"/>
      <c r="AB143" s="48"/>
      <c r="AC143" s="48"/>
      <c r="AD143" s="48"/>
    </row>
    <row r="144" spans="1:30" ht="15.75" customHeight="1">
      <c r="A144" s="85"/>
      <c r="B144" s="48"/>
      <c r="C144" s="48"/>
      <c r="D144" s="48"/>
      <c r="E144" s="48"/>
      <c r="F144" s="48"/>
      <c r="G144" s="48"/>
      <c r="H144" s="48"/>
      <c r="I144" s="48"/>
      <c r="J144" s="48"/>
      <c r="K144" s="50"/>
      <c r="L144" s="48"/>
      <c r="M144" s="48"/>
      <c r="N144" s="50"/>
      <c r="O144" s="48"/>
      <c r="P144" s="48"/>
      <c r="Q144" s="48"/>
      <c r="R144" s="48"/>
      <c r="S144" s="48"/>
      <c r="T144" s="48"/>
      <c r="U144" s="48"/>
      <c r="V144" s="48"/>
      <c r="W144" s="48"/>
      <c r="X144" s="48"/>
      <c r="Y144" s="48"/>
      <c r="Z144" s="48"/>
      <c r="AA144" s="48"/>
      <c r="AB144" s="48"/>
      <c r="AC144" s="48"/>
      <c r="AD144" s="48"/>
    </row>
    <row r="145" spans="1:30" ht="15.75" customHeight="1">
      <c r="A145" s="85"/>
      <c r="B145" s="48"/>
      <c r="C145" s="48"/>
      <c r="D145" s="48"/>
      <c r="E145" s="48"/>
      <c r="F145" s="48"/>
      <c r="G145" s="48"/>
      <c r="H145" s="48"/>
      <c r="I145" s="48"/>
      <c r="J145" s="48"/>
      <c r="K145" s="50"/>
      <c r="L145" s="48"/>
      <c r="M145" s="48"/>
      <c r="N145" s="50"/>
      <c r="O145" s="48"/>
      <c r="P145" s="48"/>
      <c r="Q145" s="48"/>
      <c r="R145" s="48"/>
      <c r="S145" s="48"/>
      <c r="T145" s="48"/>
      <c r="U145" s="48"/>
      <c r="V145" s="48"/>
      <c r="W145" s="48"/>
      <c r="X145" s="48"/>
      <c r="Y145" s="48"/>
      <c r="Z145" s="48"/>
      <c r="AA145" s="48"/>
      <c r="AB145" s="48"/>
      <c r="AC145" s="48"/>
      <c r="AD145" s="48"/>
    </row>
    <row r="146" spans="1:30" ht="15.75" customHeight="1">
      <c r="A146" s="85"/>
      <c r="B146" s="48"/>
      <c r="C146" s="48"/>
      <c r="D146" s="48"/>
      <c r="E146" s="48"/>
      <c r="F146" s="48"/>
      <c r="G146" s="48"/>
      <c r="H146" s="48"/>
      <c r="I146" s="48"/>
      <c r="J146" s="48"/>
      <c r="K146" s="50"/>
      <c r="L146" s="48"/>
      <c r="M146" s="48"/>
      <c r="N146" s="50"/>
      <c r="O146" s="48"/>
      <c r="P146" s="48"/>
      <c r="Q146" s="48"/>
      <c r="R146" s="48"/>
      <c r="S146" s="48"/>
      <c r="T146" s="48"/>
      <c r="U146" s="48"/>
      <c r="V146" s="48"/>
      <c r="W146" s="48"/>
      <c r="X146" s="48"/>
      <c r="Y146" s="48"/>
      <c r="Z146" s="48"/>
      <c r="AA146" s="48"/>
      <c r="AB146" s="48"/>
      <c r="AC146" s="48"/>
      <c r="AD146" s="48"/>
    </row>
    <row r="147" spans="1:30" ht="15.75" customHeight="1">
      <c r="A147" s="85"/>
      <c r="B147" s="48"/>
      <c r="C147" s="48"/>
      <c r="D147" s="48"/>
      <c r="E147" s="48"/>
      <c r="F147" s="48"/>
      <c r="G147" s="48"/>
      <c r="H147" s="48"/>
      <c r="I147" s="48"/>
      <c r="J147" s="48"/>
      <c r="K147" s="50"/>
      <c r="L147" s="48"/>
      <c r="M147" s="48"/>
      <c r="N147" s="50"/>
      <c r="O147" s="48"/>
      <c r="P147" s="48"/>
      <c r="Q147" s="48"/>
      <c r="R147" s="48"/>
      <c r="S147" s="48"/>
      <c r="T147" s="48"/>
      <c r="U147" s="48"/>
      <c r="V147" s="48"/>
      <c r="W147" s="48"/>
      <c r="X147" s="48"/>
      <c r="Y147" s="48"/>
      <c r="Z147" s="48"/>
      <c r="AA147" s="48"/>
      <c r="AB147" s="48"/>
      <c r="AC147" s="48"/>
      <c r="AD147" s="48"/>
    </row>
    <row r="148" spans="1:30" ht="15.75" customHeight="1">
      <c r="A148" s="85"/>
      <c r="B148" s="48"/>
      <c r="C148" s="48"/>
      <c r="D148" s="48"/>
      <c r="E148" s="48"/>
      <c r="F148" s="48"/>
      <c r="G148" s="48"/>
      <c r="H148" s="48"/>
      <c r="I148" s="48"/>
      <c r="J148" s="48"/>
      <c r="K148" s="50"/>
      <c r="L148" s="48"/>
      <c r="M148" s="48"/>
      <c r="N148" s="50"/>
      <c r="O148" s="48"/>
      <c r="P148" s="48"/>
      <c r="Q148" s="48"/>
      <c r="R148" s="48"/>
      <c r="S148" s="48"/>
      <c r="T148" s="48"/>
      <c r="U148" s="48"/>
      <c r="V148" s="48"/>
      <c r="W148" s="48"/>
      <c r="X148" s="48"/>
      <c r="Y148" s="48"/>
      <c r="Z148" s="48"/>
      <c r="AA148" s="48"/>
      <c r="AB148" s="48"/>
      <c r="AC148" s="48"/>
      <c r="AD148" s="48"/>
    </row>
    <row r="149" spans="1:30" ht="15.75" customHeight="1">
      <c r="A149" s="85"/>
      <c r="B149" s="48"/>
      <c r="C149" s="48"/>
      <c r="D149" s="48"/>
      <c r="E149" s="48"/>
      <c r="F149" s="48"/>
      <c r="G149" s="48"/>
      <c r="H149" s="48"/>
      <c r="I149" s="48"/>
      <c r="J149" s="48"/>
      <c r="K149" s="50"/>
      <c r="L149" s="48"/>
      <c r="M149" s="48"/>
      <c r="N149" s="50"/>
      <c r="O149" s="48"/>
      <c r="P149" s="48"/>
      <c r="Q149" s="48"/>
      <c r="R149" s="48"/>
      <c r="S149" s="48"/>
      <c r="T149" s="48"/>
      <c r="U149" s="48"/>
      <c r="V149" s="48"/>
      <c r="W149" s="48"/>
      <c r="X149" s="48"/>
      <c r="Y149" s="48"/>
      <c r="Z149" s="48"/>
      <c r="AA149" s="48"/>
      <c r="AB149" s="48"/>
      <c r="AC149" s="48"/>
      <c r="AD149" s="48"/>
    </row>
    <row r="150" spans="1:30" ht="15.75" customHeight="1">
      <c r="A150" s="85"/>
      <c r="B150" s="48"/>
      <c r="C150" s="48"/>
      <c r="D150" s="48"/>
      <c r="E150" s="48"/>
      <c r="F150" s="48"/>
      <c r="G150" s="48"/>
      <c r="H150" s="48"/>
      <c r="I150" s="48"/>
      <c r="J150" s="48"/>
      <c r="K150" s="50"/>
      <c r="L150" s="48"/>
      <c r="M150" s="48"/>
      <c r="N150" s="50"/>
      <c r="O150" s="48"/>
      <c r="P150" s="48"/>
      <c r="Q150" s="48"/>
      <c r="R150" s="48"/>
      <c r="S150" s="48"/>
      <c r="T150" s="48"/>
      <c r="U150" s="48"/>
      <c r="V150" s="48"/>
      <c r="W150" s="48"/>
      <c r="X150" s="48"/>
      <c r="Y150" s="48"/>
      <c r="Z150" s="48"/>
      <c r="AA150" s="48"/>
      <c r="AB150" s="48"/>
      <c r="AC150" s="48"/>
      <c r="AD150" s="48"/>
    </row>
    <row r="151" spans="1:30" ht="15.75" customHeight="1">
      <c r="A151" s="85"/>
      <c r="B151" s="48"/>
      <c r="C151" s="48"/>
      <c r="D151" s="48"/>
      <c r="E151" s="48"/>
      <c r="F151" s="48"/>
      <c r="G151" s="48"/>
      <c r="H151" s="48"/>
      <c r="I151" s="48"/>
      <c r="J151" s="48"/>
      <c r="K151" s="50"/>
      <c r="L151" s="48"/>
      <c r="M151" s="48"/>
      <c r="N151" s="50"/>
      <c r="O151" s="48"/>
      <c r="P151" s="48"/>
      <c r="Q151" s="48"/>
      <c r="R151" s="48"/>
      <c r="S151" s="48"/>
      <c r="T151" s="48"/>
      <c r="U151" s="48"/>
      <c r="V151" s="48"/>
      <c r="W151" s="48"/>
      <c r="X151" s="48"/>
      <c r="Y151" s="48"/>
      <c r="Z151" s="48"/>
      <c r="AA151" s="48"/>
      <c r="AB151" s="48"/>
      <c r="AC151" s="48"/>
      <c r="AD151" s="48"/>
    </row>
    <row r="152" spans="1:30" ht="15.75" customHeight="1">
      <c r="A152" s="85"/>
      <c r="B152" s="48"/>
      <c r="C152" s="48"/>
      <c r="D152" s="48"/>
      <c r="E152" s="48"/>
      <c r="F152" s="48"/>
      <c r="G152" s="48"/>
      <c r="H152" s="48"/>
      <c r="I152" s="48"/>
      <c r="J152" s="48"/>
      <c r="K152" s="50"/>
      <c r="L152" s="48"/>
      <c r="M152" s="48"/>
      <c r="N152" s="50"/>
      <c r="O152" s="48"/>
      <c r="P152" s="48"/>
      <c r="Q152" s="48"/>
      <c r="R152" s="48"/>
      <c r="S152" s="48"/>
      <c r="T152" s="48"/>
      <c r="U152" s="48"/>
      <c r="V152" s="48"/>
      <c r="W152" s="48"/>
      <c r="X152" s="48"/>
      <c r="Y152" s="48"/>
      <c r="Z152" s="48"/>
      <c r="AA152" s="48"/>
      <c r="AB152" s="48"/>
      <c r="AC152" s="48"/>
      <c r="AD152" s="48"/>
    </row>
    <row r="153" spans="1:30" ht="15.75" customHeight="1">
      <c r="A153" s="85"/>
      <c r="B153" s="48"/>
      <c r="C153" s="48"/>
      <c r="D153" s="48"/>
      <c r="E153" s="48"/>
      <c r="F153" s="48"/>
      <c r="G153" s="48"/>
      <c r="H153" s="48"/>
      <c r="I153" s="48"/>
      <c r="J153" s="48"/>
      <c r="K153" s="50"/>
      <c r="L153" s="48"/>
      <c r="M153" s="48"/>
      <c r="N153" s="50"/>
      <c r="O153" s="48"/>
      <c r="P153" s="48"/>
      <c r="Q153" s="48"/>
      <c r="R153" s="48"/>
      <c r="S153" s="48"/>
      <c r="T153" s="48"/>
      <c r="U153" s="48"/>
      <c r="V153" s="48"/>
      <c r="W153" s="48"/>
      <c r="X153" s="48"/>
      <c r="Y153" s="48"/>
      <c r="Z153" s="48"/>
      <c r="AA153" s="48"/>
      <c r="AB153" s="48"/>
      <c r="AC153" s="48"/>
      <c r="AD153" s="48"/>
    </row>
    <row r="154" spans="1:30" ht="15.75" customHeight="1">
      <c r="A154" s="85"/>
      <c r="B154" s="48"/>
      <c r="C154" s="48"/>
      <c r="D154" s="48"/>
      <c r="E154" s="48"/>
      <c r="F154" s="48"/>
      <c r="G154" s="48"/>
      <c r="H154" s="48"/>
      <c r="I154" s="48"/>
      <c r="J154" s="48"/>
      <c r="K154" s="50"/>
      <c r="L154" s="48"/>
      <c r="M154" s="48"/>
      <c r="N154" s="50"/>
      <c r="O154" s="48"/>
      <c r="P154" s="48"/>
      <c r="Q154" s="48"/>
      <c r="R154" s="48"/>
      <c r="S154" s="48"/>
      <c r="T154" s="48"/>
      <c r="U154" s="48"/>
      <c r="V154" s="48"/>
      <c r="W154" s="48"/>
      <c r="X154" s="48"/>
      <c r="Y154" s="48"/>
      <c r="Z154" s="48"/>
      <c r="AA154" s="48"/>
      <c r="AB154" s="48"/>
      <c r="AC154" s="48"/>
      <c r="AD154" s="48"/>
    </row>
    <row r="155" spans="1:30" ht="15.75" customHeight="1">
      <c r="A155" s="85"/>
      <c r="B155" s="48"/>
      <c r="C155" s="48"/>
      <c r="D155" s="48"/>
      <c r="E155" s="48"/>
      <c r="F155" s="48"/>
      <c r="G155" s="48"/>
      <c r="H155" s="48"/>
      <c r="I155" s="48"/>
      <c r="J155" s="48"/>
      <c r="K155" s="50"/>
      <c r="L155" s="48"/>
      <c r="M155" s="48"/>
      <c r="N155" s="50"/>
      <c r="O155" s="48"/>
      <c r="P155" s="48"/>
      <c r="Q155" s="48"/>
      <c r="R155" s="48"/>
      <c r="S155" s="48"/>
      <c r="T155" s="48"/>
      <c r="U155" s="48"/>
      <c r="V155" s="48"/>
      <c r="W155" s="48"/>
      <c r="X155" s="48"/>
      <c r="Y155" s="48"/>
      <c r="Z155" s="48"/>
      <c r="AA155" s="48"/>
      <c r="AB155" s="48"/>
      <c r="AC155" s="48"/>
      <c r="AD155" s="48"/>
    </row>
    <row r="156" spans="1:30" ht="15.75" customHeight="1">
      <c r="A156" s="85"/>
      <c r="B156" s="48"/>
      <c r="C156" s="48"/>
      <c r="D156" s="48"/>
      <c r="E156" s="48"/>
      <c r="F156" s="48"/>
      <c r="G156" s="48"/>
      <c r="H156" s="48"/>
      <c r="I156" s="48"/>
      <c r="J156" s="48"/>
      <c r="K156" s="50"/>
      <c r="L156" s="48"/>
      <c r="M156" s="48"/>
      <c r="N156" s="50"/>
      <c r="O156" s="48"/>
      <c r="P156" s="48"/>
      <c r="Q156" s="48"/>
      <c r="R156" s="48"/>
      <c r="S156" s="48"/>
      <c r="T156" s="48"/>
      <c r="U156" s="48"/>
      <c r="V156" s="48"/>
      <c r="W156" s="48"/>
      <c r="X156" s="48"/>
      <c r="Y156" s="48"/>
      <c r="Z156" s="48"/>
      <c r="AA156" s="48"/>
      <c r="AB156" s="48"/>
      <c r="AC156" s="48"/>
      <c r="AD156" s="48"/>
    </row>
    <row r="157" spans="1:30" ht="15.75" customHeight="1">
      <c r="A157" s="85"/>
      <c r="B157" s="48"/>
      <c r="C157" s="48"/>
      <c r="D157" s="48"/>
      <c r="E157" s="48"/>
      <c r="F157" s="48"/>
      <c r="G157" s="48"/>
      <c r="H157" s="48"/>
      <c r="I157" s="48"/>
      <c r="J157" s="48"/>
      <c r="K157" s="50"/>
      <c r="L157" s="48"/>
      <c r="M157" s="48"/>
      <c r="N157" s="50"/>
      <c r="O157" s="48"/>
      <c r="P157" s="48"/>
      <c r="Q157" s="48"/>
      <c r="R157" s="48"/>
      <c r="S157" s="48"/>
      <c r="T157" s="48"/>
      <c r="U157" s="48"/>
      <c r="V157" s="48"/>
      <c r="W157" s="48"/>
      <c r="X157" s="48"/>
      <c r="Y157" s="48"/>
      <c r="Z157" s="48"/>
      <c r="AA157" s="48"/>
      <c r="AB157" s="48"/>
      <c r="AC157" s="48"/>
      <c r="AD157" s="48"/>
    </row>
    <row r="158" spans="1:30" ht="15.75" customHeight="1">
      <c r="A158" s="85"/>
      <c r="B158" s="48"/>
      <c r="C158" s="48"/>
      <c r="D158" s="48"/>
      <c r="E158" s="48"/>
      <c r="F158" s="48"/>
      <c r="G158" s="48"/>
      <c r="H158" s="48"/>
      <c r="I158" s="48"/>
      <c r="J158" s="48"/>
      <c r="K158" s="50"/>
      <c r="L158" s="48"/>
      <c r="M158" s="48"/>
      <c r="N158" s="50"/>
      <c r="O158" s="48"/>
      <c r="P158" s="48"/>
      <c r="Q158" s="48"/>
      <c r="R158" s="48"/>
      <c r="S158" s="48"/>
      <c r="T158" s="48"/>
      <c r="U158" s="48"/>
      <c r="V158" s="48"/>
      <c r="W158" s="48"/>
      <c r="X158" s="48"/>
      <c r="Y158" s="48"/>
      <c r="Z158" s="48"/>
      <c r="AA158" s="48"/>
      <c r="AB158" s="48"/>
      <c r="AC158" s="48"/>
      <c r="AD158" s="48"/>
    </row>
    <row r="159" spans="1:30" ht="15.75" customHeight="1">
      <c r="A159" s="85"/>
      <c r="B159" s="48"/>
      <c r="C159" s="48"/>
      <c r="D159" s="48"/>
      <c r="E159" s="48"/>
      <c r="F159" s="48"/>
      <c r="G159" s="48"/>
      <c r="H159" s="48"/>
      <c r="I159" s="48"/>
      <c r="J159" s="48"/>
      <c r="K159" s="50"/>
      <c r="L159" s="48"/>
      <c r="M159" s="48"/>
      <c r="N159" s="50"/>
      <c r="O159" s="48"/>
      <c r="P159" s="48"/>
      <c r="Q159" s="48"/>
      <c r="R159" s="48"/>
      <c r="S159" s="48"/>
      <c r="T159" s="48"/>
      <c r="U159" s="48"/>
      <c r="V159" s="48"/>
      <c r="W159" s="48"/>
      <c r="X159" s="48"/>
      <c r="Y159" s="48"/>
      <c r="Z159" s="48"/>
      <c r="AA159" s="48"/>
      <c r="AB159" s="48"/>
      <c r="AC159" s="48"/>
      <c r="AD159" s="48"/>
    </row>
    <row r="160" spans="1:30" ht="15.75" customHeight="1">
      <c r="A160" s="85"/>
      <c r="B160" s="48"/>
      <c r="C160" s="48"/>
      <c r="D160" s="48"/>
      <c r="E160" s="48"/>
      <c r="F160" s="48"/>
      <c r="G160" s="48"/>
      <c r="H160" s="48"/>
      <c r="I160" s="48"/>
      <c r="J160" s="48"/>
      <c r="K160" s="50"/>
      <c r="L160" s="48"/>
      <c r="M160" s="48"/>
      <c r="N160" s="50"/>
      <c r="O160" s="48"/>
      <c r="P160" s="48"/>
      <c r="Q160" s="48"/>
      <c r="R160" s="48"/>
      <c r="S160" s="48"/>
      <c r="T160" s="48"/>
      <c r="U160" s="48"/>
      <c r="V160" s="48"/>
      <c r="W160" s="48"/>
      <c r="X160" s="48"/>
      <c r="Y160" s="48"/>
      <c r="Z160" s="48"/>
      <c r="AA160" s="48"/>
      <c r="AB160" s="48"/>
      <c r="AC160" s="48"/>
      <c r="AD160" s="48"/>
    </row>
    <row r="161" spans="1:30" ht="15.75" customHeight="1">
      <c r="A161" s="85"/>
      <c r="B161" s="48"/>
      <c r="C161" s="48"/>
      <c r="D161" s="48"/>
      <c r="E161" s="48"/>
      <c r="F161" s="48"/>
      <c r="G161" s="48"/>
      <c r="H161" s="48"/>
      <c r="I161" s="48"/>
      <c r="J161" s="48"/>
      <c r="K161" s="50"/>
      <c r="L161" s="48"/>
      <c r="M161" s="48"/>
      <c r="N161" s="50"/>
      <c r="O161" s="48"/>
      <c r="P161" s="48"/>
      <c r="Q161" s="48"/>
      <c r="R161" s="48"/>
      <c r="S161" s="48"/>
      <c r="T161" s="48"/>
      <c r="U161" s="48"/>
      <c r="V161" s="48"/>
      <c r="W161" s="48"/>
      <c r="X161" s="48"/>
      <c r="Y161" s="48"/>
      <c r="Z161" s="48"/>
      <c r="AA161" s="48"/>
      <c r="AB161" s="48"/>
      <c r="AC161" s="48"/>
      <c r="AD161" s="48"/>
    </row>
    <row r="162" spans="1:30" ht="15.75" customHeight="1">
      <c r="A162" s="85"/>
      <c r="B162" s="48"/>
      <c r="C162" s="48"/>
      <c r="D162" s="48"/>
      <c r="E162" s="48"/>
      <c r="F162" s="48"/>
      <c r="G162" s="48"/>
      <c r="H162" s="48"/>
      <c r="I162" s="48"/>
      <c r="J162" s="48"/>
      <c r="K162" s="50"/>
      <c r="L162" s="48"/>
      <c r="M162" s="48"/>
      <c r="N162" s="50"/>
      <c r="O162" s="48"/>
      <c r="P162" s="48"/>
      <c r="Q162" s="48"/>
      <c r="R162" s="48"/>
      <c r="S162" s="48"/>
      <c r="T162" s="48"/>
      <c r="U162" s="48"/>
      <c r="V162" s="48"/>
      <c r="W162" s="48"/>
      <c r="X162" s="48"/>
      <c r="Y162" s="48"/>
      <c r="Z162" s="48"/>
      <c r="AA162" s="48"/>
      <c r="AB162" s="48"/>
      <c r="AC162" s="48"/>
      <c r="AD162" s="48"/>
    </row>
    <row r="163" spans="1:30" ht="15.75" customHeight="1">
      <c r="A163" s="85"/>
      <c r="B163" s="48"/>
      <c r="C163" s="48"/>
      <c r="D163" s="48"/>
      <c r="E163" s="48"/>
      <c r="F163" s="48"/>
      <c r="G163" s="48"/>
      <c r="H163" s="48"/>
      <c r="I163" s="48"/>
      <c r="J163" s="48"/>
      <c r="K163" s="50"/>
      <c r="L163" s="48"/>
      <c r="M163" s="48"/>
      <c r="N163" s="50"/>
      <c r="O163" s="48"/>
      <c r="P163" s="48"/>
      <c r="Q163" s="48"/>
      <c r="R163" s="48"/>
      <c r="S163" s="48"/>
      <c r="T163" s="48"/>
      <c r="U163" s="48"/>
      <c r="V163" s="48"/>
      <c r="W163" s="48"/>
      <c r="X163" s="48"/>
      <c r="Y163" s="48"/>
      <c r="Z163" s="48"/>
      <c r="AA163" s="48"/>
      <c r="AB163" s="48"/>
      <c r="AC163" s="48"/>
      <c r="AD163" s="48"/>
    </row>
    <row r="164" spans="1:30" ht="15.75" customHeight="1">
      <c r="A164" s="85"/>
      <c r="B164" s="48"/>
      <c r="C164" s="48"/>
      <c r="D164" s="48"/>
      <c r="E164" s="48"/>
      <c r="F164" s="48"/>
      <c r="G164" s="48"/>
      <c r="H164" s="48"/>
      <c r="I164" s="48"/>
      <c r="J164" s="48"/>
      <c r="K164" s="50"/>
      <c r="L164" s="48"/>
      <c r="M164" s="48"/>
      <c r="N164" s="50"/>
      <c r="O164" s="48"/>
      <c r="P164" s="48"/>
      <c r="Q164" s="48"/>
      <c r="R164" s="48"/>
      <c r="S164" s="48"/>
      <c r="T164" s="48"/>
      <c r="U164" s="48"/>
      <c r="V164" s="48"/>
      <c r="W164" s="48"/>
      <c r="X164" s="48"/>
      <c r="Y164" s="48"/>
      <c r="Z164" s="48"/>
      <c r="AA164" s="48"/>
      <c r="AB164" s="48"/>
      <c r="AC164" s="48"/>
      <c r="AD164" s="48"/>
    </row>
    <row r="165" spans="1:30" ht="15.75" customHeight="1">
      <c r="A165" s="85"/>
      <c r="B165" s="48"/>
      <c r="C165" s="48"/>
      <c r="D165" s="48"/>
      <c r="E165" s="48"/>
      <c r="F165" s="48"/>
      <c r="G165" s="48"/>
      <c r="H165" s="48"/>
      <c r="I165" s="48"/>
      <c r="J165" s="48"/>
      <c r="K165" s="50"/>
      <c r="L165" s="48"/>
      <c r="M165" s="48"/>
      <c r="N165" s="50"/>
      <c r="O165" s="48"/>
      <c r="P165" s="48"/>
      <c r="Q165" s="48"/>
      <c r="R165" s="48"/>
      <c r="S165" s="48"/>
      <c r="T165" s="48"/>
      <c r="U165" s="48"/>
      <c r="V165" s="48"/>
      <c r="W165" s="48"/>
      <c r="X165" s="48"/>
      <c r="Y165" s="48"/>
      <c r="Z165" s="48"/>
      <c r="AA165" s="48"/>
      <c r="AB165" s="48"/>
      <c r="AC165" s="48"/>
      <c r="AD165" s="48"/>
    </row>
    <row r="166" spans="1:30" ht="15.75" customHeight="1">
      <c r="A166" s="85"/>
      <c r="B166" s="48"/>
      <c r="C166" s="48"/>
      <c r="D166" s="48"/>
      <c r="E166" s="48"/>
      <c r="F166" s="48"/>
      <c r="G166" s="48"/>
      <c r="H166" s="48"/>
      <c r="I166" s="48"/>
      <c r="J166" s="48"/>
      <c r="K166" s="50"/>
      <c r="L166" s="48"/>
      <c r="M166" s="48"/>
      <c r="N166" s="50"/>
      <c r="O166" s="48"/>
      <c r="P166" s="48"/>
      <c r="Q166" s="48"/>
      <c r="R166" s="48"/>
      <c r="S166" s="48"/>
      <c r="T166" s="48"/>
      <c r="U166" s="48"/>
      <c r="V166" s="48"/>
      <c r="W166" s="48"/>
      <c r="X166" s="48"/>
      <c r="Y166" s="48"/>
      <c r="Z166" s="48"/>
      <c r="AA166" s="48"/>
      <c r="AB166" s="48"/>
      <c r="AC166" s="48"/>
      <c r="AD166" s="48"/>
    </row>
    <row r="167" spans="1:30" ht="15.75" customHeight="1">
      <c r="A167" s="85"/>
      <c r="B167" s="48"/>
      <c r="C167" s="48"/>
      <c r="D167" s="48"/>
      <c r="E167" s="48"/>
      <c r="F167" s="48"/>
      <c r="G167" s="48"/>
      <c r="H167" s="48"/>
      <c r="I167" s="48"/>
      <c r="J167" s="48"/>
      <c r="K167" s="50"/>
      <c r="L167" s="48"/>
      <c r="M167" s="48"/>
      <c r="N167" s="50"/>
      <c r="O167" s="48"/>
      <c r="P167" s="48"/>
      <c r="Q167" s="48"/>
      <c r="R167" s="48"/>
      <c r="S167" s="48"/>
      <c r="T167" s="48"/>
      <c r="U167" s="48"/>
      <c r="V167" s="48"/>
      <c r="W167" s="48"/>
      <c r="X167" s="48"/>
      <c r="Y167" s="48"/>
      <c r="Z167" s="48"/>
      <c r="AA167" s="48"/>
      <c r="AB167" s="48"/>
      <c r="AC167" s="48"/>
      <c r="AD167" s="48"/>
    </row>
    <row r="168" spans="1:30" ht="15.75" customHeight="1">
      <c r="A168" s="85"/>
      <c r="B168" s="48"/>
      <c r="C168" s="48"/>
      <c r="D168" s="48"/>
      <c r="E168" s="48"/>
      <c r="F168" s="48"/>
      <c r="G168" s="48"/>
      <c r="H168" s="48"/>
      <c r="I168" s="48"/>
      <c r="J168" s="48"/>
      <c r="K168" s="50"/>
      <c r="L168" s="48"/>
      <c r="M168" s="48"/>
      <c r="N168" s="50"/>
      <c r="O168" s="48"/>
      <c r="P168" s="48"/>
      <c r="Q168" s="48"/>
      <c r="R168" s="48"/>
      <c r="S168" s="48"/>
      <c r="T168" s="48"/>
      <c r="U168" s="48"/>
      <c r="V168" s="48"/>
      <c r="W168" s="48"/>
      <c r="X168" s="48"/>
      <c r="Y168" s="48"/>
      <c r="Z168" s="48"/>
      <c r="AA168" s="48"/>
      <c r="AB168" s="48"/>
      <c r="AC168" s="48"/>
      <c r="AD168" s="48"/>
    </row>
    <row r="169" spans="1:30" ht="15.75" customHeight="1">
      <c r="A169" s="85"/>
      <c r="B169" s="48"/>
      <c r="C169" s="48"/>
      <c r="D169" s="48"/>
      <c r="E169" s="48"/>
      <c r="F169" s="48"/>
      <c r="G169" s="48"/>
      <c r="H169" s="48"/>
      <c r="I169" s="48"/>
      <c r="J169" s="48"/>
      <c r="K169" s="50"/>
      <c r="L169" s="48"/>
      <c r="M169" s="48"/>
      <c r="N169" s="50"/>
      <c r="O169" s="48"/>
      <c r="P169" s="48"/>
      <c r="Q169" s="48"/>
      <c r="R169" s="48"/>
      <c r="S169" s="48"/>
      <c r="T169" s="48"/>
      <c r="U169" s="48"/>
      <c r="V169" s="48"/>
      <c r="W169" s="48"/>
      <c r="X169" s="48"/>
      <c r="Y169" s="48"/>
      <c r="Z169" s="48"/>
      <c r="AA169" s="48"/>
      <c r="AB169" s="48"/>
      <c r="AC169" s="48"/>
      <c r="AD169" s="48"/>
    </row>
    <row r="170" spans="1:30" ht="15.75" customHeight="1">
      <c r="A170" s="85"/>
      <c r="B170" s="48"/>
      <c r="C170" s="48"/>
      <c r="D170" s="48"/>
      <c r="E170" s="48"/>
      <c r="F170" s="48"/>
      <c r="G170" s="48"/>
      <c r="H170" s="48"/>
      <c r="I170" s="48"/>
      <c r="J170" s="48"/>
      <c r="K170" s="50"/>
      <c r="L170" s="48"/>
      <c r="M170" s="48"/>
      <c r="N170" s="50"/>
      <c r="O170" s="48"/>
      <c r="P170" s="48"/>
      <c r="Q170" s="48"/>
      <c r="R170" s="48"/>
      <c r="S170" s="48"/>
      <c r="T170" s="48"/>
      <c r="U170" s="48"/>
      <c r="V170" s="48"/>
      <c r="W170" s="48"/>
      <c r="X170" s="48"/>
      <c r="Y170" s="48"/>
      <c r="Z170" s="48"/>
      <c r="AA170" s="48"/>
      <c r="AB170" s="48"/>
      <c r="AC170" s="48"/>
      <c r="AD170" s="48"/>
    </row>
    <row r="171" spans="1:30" ht="15.75" customHeight="1">
      <c r="A171" s="85"/>
      <c r="B171" s="48"/>
      <c r="C171" s="48"/>
      <c r="D171" s="48"/>
      <c r="E171" s="48"/>
      <c r="F171" s="48"/>
      <c r="G171" s="48"/>
      <c r="H171" s="48"/>
      <c r="I171" s="48"/>
      <c r="J171" s="48"/>
      <c r="K171" s="50"/>
      <c r="L171" s="48"/>
      <c r="M171" s="48"/>
      <c r="N171" s="50"/>
      <c r="O171" s="48"/>
      <c r="P171" s="48"/>
      <c r="Q171" s="48"/>
      <c r="R171" s="48"/>
      <c r="S171" s="48"/>
      <c r="T171" s="48"/>
      <c r="U171" s="48"/>
      <c r="V171" s="48"/>
      <c r="W171" s="48"/>
      <c r="X171" s="48"/>
      <c r="Y171" s="48"/>
      <c r="Z171" s="48"/>
      <c r="AA171" s="48"/>
      <c r="AB171" s="48"/>
      <c r="AC171" s="48"/>
      <c r="AD171" s="48"/>
    </row>
    <row r="172" spans="1:30" ht="15.75" customHeight="1">
      <c r="A172" s="85"/>
      <c r="B172" s="48"/>
      <c r="C172" s="48"/>
      <c r="D172" s="48"/>
      <c r="E172" s="48"/>
      <c r="F172" s="48"/>
      <c r="G172" s="48"/>
      <c r="H172" s="48"/>
      <c r="I172" s="48"/>
      <c r="J172" s="48"/>
      <c r="K172" s="50"/>
      <c r="L172" s="48"/>
      <c r="M172" s="48"/>
      <c r="N172" s="50"/>
      <c r="O172" s="48"/>
      <c r="P172" s="48"/>
      <c r="Q172" s="48"/>
      <c r="R172" s="48"/>
      <c r="S172" s="48"/>
      <c r="T172" s="48"/>
      <c r="U172" s="48"/>
      <c r="V172" s="48"/>
      <c r="W172" s="48"/>
      <c r="X172" s="48"/>
      <c r="Y172" s="48"/>
      <c r="Z172" s="48"/>
      <c r="AA172" s="48"/>
      <c r="AB172" s="48"/>
      <c r="AC172" s="48"/>
      <c r="AD172" s="48"/>
    </row>
    <row r="173" spans="1:30" ht="15.75" customHeight="1">
      <c r="A173" s="85"/>
      <c r="B173" s="48"/>
      <c r="C173" s="48"/>
      <c r="D173" s="48"/>
      <c r="E173" s="48"/>
      <c r="F173" s="48"/>
      <c r="G173" s="48"/>
      <c r="H173" s="48"/>
      <c r="I173" s="48"/>
      <c r="J173" s="48"/>
      <c r="K173" s="50"/>
      <c r="L173" s="48"/>
      <c r="M173" s="48"/>
      <c r="N173" s="50"/>
      <c r="O173" s="48"/>
      <c r="P173" s="48"/>
      <c r="Q173" s="48"/>
      <c r="R173" s="48"/>
      <c r="S173" s="48"/>
      <c r="T173" s="48"/>
      <c r="U173" s="48"/>
      <c r="V173" s="48"/>
      <c r="W173" s="48"/>
      <c r="X173" s="48"/>
      <c r="Y173" s="48"/>
      <c r="Z173" s="48"/>
      <c r="AA173" s="48"/>
      <c r="AB173" s="48"/>
      <c r="AC173" s="48"/>
      <c r="AD173" s="48"/>
    </row>
    <row r="174" spans="1:30" ht="15.75" customHeight="1">
      <c r="A174" s="85"/>
      <c r="B174" s="48"/>
      <c r="C174" s="48"/>
      <c r="D174" s="48"/>
      <c r="E174" s="48"/>
      <c r="F174" s="48"/>
      <c r="G174" s="48"/>
      <c r="H174" s="48"/>
      <c r="I174" s="48"/>
      <c r="J174" s="48"/>
      <c r="K174" s="50"/>
      <c r="L174" s="48"/>
      <c r="M174" s="48"/>
      <c r="N174" s="50"/>
      <c r="O174" s="48"/>
      <c r="P174" s="48"/>
      <c r="Q174" s="48"/>
      <c r="R174" s="48"/>
      <c r="S174" s="48"/>
      <c r="T174" s="48"/>
      <c r="U174" s="48"/>
      <c r="V174" s="48"/>
      <c r="W174" s="48"/>
      <c r="X174" s="48"/>
      <c r="Y174" s="48"/>
      <c r="Z174" s="48"/>
      <c r="AA174" s="48"/>
      <c r="AB174" s="48"/>
      <c r="AC174" s="48"/>
      <c r="AD174" s="48"/>
    </row>
    <row r="175" spans="1:30" ht="15.75" customHeight="1">
      <c r="A175" s="85"/>
      <c r="B175" s="48"/>
      <c r="C175" s="48"/>
      <c r="D175" s="48"/>
      <c r="E175" s="48"/>
      <c r="F175" s="48"/>
      <c r="G175" s="48"/>
      <c r="H175" s="48"/>
      <c r="I175" s="48"/>
      <c r="J175" s="48"/>
      <c r="K175" s="50"/>
      <c r="L175" s="48"/>
      <c r="M175" s="48"/>
      <c r="N175" s="50"/>
      <c r="O175" s="48"/>
      <c r="P175" s="48"/>
      <c r="Q175" s="48"/>
      <c r="R175" s="48"/>
      <c r="S175" s="48"/>
      <c r="T175" s="48"/>
      <c r="U175" s="48"/>
      <c r="V175" s="48"/>
      <c r="W175" s="48"/>
      <c r="X175" s="48"/>
      <c r="Y175" s="48"/>
      <c r="Z175" s="48"/>
      <c r="AA175" s="48"/>
      <c r="AB175" s="48"/>
      <c r="AC175" s="48"/>
      <c r="AD175" s="48"/>
    </row>
    <row r="176" spans="1:30" ht="15.75" customHeight="1">
      <c r="A176" s="85"/>
      <c r="B176" s="48"/>
      <c r="C176" s="48"/>
      <c r="D176" s="48"/>
      <c r="E176" s="48"/>
      <c r="F176" s="48"/>
      <c r="G176" s="48"/>
      <c r="H176" s="48"/>
      <c r="I176" s="48"/>
      <c r="J176" s="48"/>
      <c r="K176" s="50"/>
      <c r="L176" s="48"/>
      <c r="M176" s="48"/>
      <c r="N176" s="50"/>
      <c r="O176" s="48"/>
      <c r="P176" s="48"/>
      <c r="Q176" s="48"/>
      <c r="R176" s="48"/>
      <c r="S176" s="48"/>
      <c r="T176" s="48"/>
      <c r="U176" s="48"/>
      <c r="V176" s="48"/>
      <c r="W176" s="48"/>
      <c r="X176" s="48"/>
      <c r="Y176" s="48"/>
      <c r="Z176" s="48"/>
      <c r="AA176" s="48"/>
      <c r="AB176" s="48"/>
      <c r="AC176" s="48"/>
      <c r="AD176" s="48"/>
    </row>
    <row r="177" spans="1:30" ht="15.75" customHeight="1">
      <c r="A177" s="85"/>
      <c r="B177" s="48"/>
      <c r="C177" s="48"/>
      <c r="D177" s="48"/>
      <c r="E177" s="48"/>
      <c r="F177" s="48"/>
      <c r="G177" s="48"/>
      <c r="H177" s="48"/>
      <c r="I177" s="48"/>
      <c r="J177" s="48"/>
      <c r="K177" s="50"/>
      <c r="L177" s="48"/>
      <c r="M177" s="48"/>
      <c r="N177" s="50"/>
      <c r="O177" s="48"/>
      <c r="P177" s="48"/>
      <c r="Q177" s="48"/>
      <c r="R177" s="48"/>
      <c r="S177" s="48"/>
      <c r="T177" s="48"/>
      <c r="U177" s="48"/>
      <c r="V177" s="48"/>
      <c r="W177" s="48"/>
      <c r="X177" s="48"/>
      <c r="Y177" s="48"/>
      <c r="Z177" s="48"/>
      <c r="AA177" s="48"/>
      <c r="AB177" s="48"/>
      <c r="AC177" s="48"/>
      <c r="AD177" s="48"/>
    </row>
    <row r="178" spans="1:30" ht="15.75" customHeight="1">
      <c r="A178" s="85"/>
      <c r="B178" s="48"/>
      <c r="C178" s="48"/>
      <c r="D178" s="48"/>
      <c r="E178" s="48"/>
      <c r="F178" s="48"/>
      <c r="G178" s="48"/>
      <c r="H178" s="48"/>
      <c r="I178" s="48"/>
      <c r="J178" s="48"/>
      <c r="K178" s="50"/>
      <c r="L178" s="48"/>
      <c r="M178" s="48"/>
      <c r="N178" s="50"/>
      <c r="O178" s="48"/>
      <c r="P178" s="48"/>
      <c r="Q178" s="48"/>
      <c r="R178" s="48"/>
      <c r="S178" s="48"/>
      <c r="T178" s="48"/>
      <c r="U178" s="48"/>
      <c r="V178" s="48"/>
      <c r="W178" s="48"/>
      <c r="X178" s="48"/>
      <c r="Y178" s="48"/>
      <c r="Z178" s="48"/>
      <c r="AA178" s="48"/>
      <c r="AB178" s="48"/>
      <c r="AC178" s="48"/>
      <c r="AD178" s="48"/>
    </row>
    <row r="179" spans="1:30" ht="15.75" customHeight="1">
      <c r="A179" s="85"/>
      <c r="B179" s="48"/>
      <c r="C179" s="48"/>
      <c r="D179" s="48"/>
      <c r="E179" s="48"/>
      <c r="F179" s="48"/>
      <c r="G179" s="48"/>
      <c r="H179" s="48"/>
      <c r="I179" s="48"/>
      <c r="J179" s="48"/>
      <c r="K179" s="50"/>
      <c r="L179" s="48"/>
      <c r="M179" s="48"/>
      <c r="N179" s="50"/>
      <c r="O179" s="48"/>
      <c r="P179" s="48"/>
      <c r="Q179" s="48"/>
      <c r="R179" s="48"/>
      <c r="S179" s="48"/>
      <c r="T179" s="48"/>
      <c r="U179" s="48"/>
      <c r="V179" s="48"/>
      <c r="W179" s="48"/>
      <c r="X179" s="48"/>
      <c r="Y179" s="48"/>
      <c r="Z179" s="48"/>
      <c r="AA179" s="48"/>
      <c r="AB179" s="48"/>
      <c r="AC179" s="48"/>
      <c r="AD179" s="48"/>
    </row>
    <row r="180" spans="1:30" ht="15.75" customHeight="1">
      <c r="A180" s="85"/>
      <c r="B180" s="48"/>
      <c r="C180" s="48"/>
      <c r="D180" s="48"/>
      <c r="E180" s="48"/>
      <c r="F180" s="48"/>
      <c r="G180" s="48"/>
      <c r="H180" s="48"/>
      <c r="I180" s="48"/>
      <c r="J180" s="48"/>
      <c r="K180" s="50"/>
      <c r="L180" s="48"/>
      <c r="M180" s="48"/>
      <c r="N180" s="50"/>
      <c r="O180" s="48"/>
      <c r="P180" s="48"/>
      <c r="Q180" s="48"/>
      <c r="R180" s="48"/>
      <c r="S180" s="48"/>
      <c r="T180" s="48"/>
      <c r="U180" s="48"/>
      <c r="V180" s="48"/>
      <c r="W180" s="48"/>
      <c r="X180" s="48"/>
      <c r="Y180" s="48"/>
      <c r="Z180" s="48"/>
      <c r="AA180" s="48"/>
      <c r="AB180" s="48"/>
      <c r="AC180" s="48"/>
      <c r="AD180" s="48"/>
    </row>
    <row r="181" spans="1:30" ht="15.75" customHeight="1">
      <c r="A181" s="85"/>
      <c r="B181" s="48"/>
      <c r="C181" s="48"/>
      <c r="D181" s="48"/>
      <c r="E181" s="48"/>
      <c r="F181" s="48"/>
      <c r="G181" s="48"/>
      <c r="H181" s="48"/>
      <c r="I181" s="48"/>
      <c r="J181" s="48"/>
      <c r="K181" s="50"/>
      <c r="L181" s="48"/>
      <c r="M181" s="48"/>
      <c r="N181" s="50"/>
      <c r="O181" s="48"/>
      <c r="P181" s="48"/>
      <c r="Q181" s="48"/>
      <c r="R181" s="48"/>
      <c r="S181" s="48"/>
      <c r="T181" s="48"/>
      <c r="U181" s="48"/>
      <c r="V181" s="48"/>
      <c r="W181" s="48"/>
      <c r="X181" s="48"/>
      <c r="Y181" s="48"/>
      <c r="Z181" s="48"/>
      <c r="AA181" s="48"/>
      <c r="AB181" s="48"/>
      <c r="AC181" s="48"/>
      <c r="AD181" s="48"/>
    </row>
    <row r="182" spans="1:30" ht="15.75" customHeight="1">
      <c r="A182" s="85"/>
      <c r="B182" s="48"/>
      <c r="C182" s="48"/>
      <c r="D182" s="48"/>
      <c r="E182" s="48"/>
      <c r="F182" s="48"/>
      <c r="G182" s="48"/>
      <c r="H182" s="48"/>
      <c r="I182" s="48"/>
      <c r="J182" s="48"/>
      <c r="K182" s="50"/>
      <c r="L182" s="48"/>
      <c r="M182" s="48"/>
      <c r="N182" s="50"/>
      <c r="O182" s="48"/>
      <c r="P182" s="48"/>
      <c r="Q182" s="48"/>
      <c r="R182" s="48"/>
      <c r="S182" s="48"/>
      <c r="T182" s="48"/>
      <c r="U182" s="48"/>
      <c r="V182" s="48"/>
      <c r="W182" s="48"/>
      <c r="X182" s="48"/>
      <c r="Y182" s="48"/>
      <c r="Z182" s="48"/>
      <c r="AA182" s="48"/>
      <c r="AB182" s="48"/>
      <c r="AC182" s="48"/>
      <c r="AD182" s="48"/>
    </row>
    <row r="183" spans="1:30" ht="15.75" customHeight="1">
      <c r="A183" s="85"/>
      <c r="B183" s="48"/>
      <c r="C183" s="48"/>
      <c r="D183" s="48"/>
      <c r="E183" s="48"/>
      <c r="F183" s="48"/>
      <c r="G183" s="48"/>
      <c r="H183" s="48"/>
      <c r="I183" s="48"/>
      <c r="J183" s="48"/>
      <c r="K183" s="50"/>
      <c r="L183" s="48"/>
      <c r="M183" s="48"/>
      <c r="N183" s="50"/>
      <c r="O183" s="48"/>
      <c r="P183" s="48"/>
      <c r="Q183" s="48"/>
      <c r="R183" s="48"/>
      <c r="S183" s="48"/>
      <c r="T183" s="48"/>
      <c r="U183" s="48"/>
      <c r="V183" s="48"/>
      <c r="W183" s="48"/>
      <c r="X183" s="48"/>
      <c r="Y183" s="48"/>
      <c r="Z183" s="48"/>
      <c r="AA183" s="48"/>
      <c r="AB183" s="48"/>
      <c r="AC183" s="48"/>
      <c r="AD183" s="48"/>
    </row>
    <row r="184" spans="1:30" ht="15.75" customHeight="1">
      <c r="A184" s="85"/>
      <c r="B184" s="48"/>
      <c r="C184" s="48"/>
      <c r="D184" s="48"/>
      <c r="E184" s="48"/>
      <c r="F184" s="48"/>
      <c r="G184" s="48"/>
      <c r="H184" s="48"/>
      <c r="I184" s="48"/>
      <c r="J184" s="48"/>
      <c r="K184" s="50"/>
      <c r="L184" s="48"/>
      <c r="M184" s="48"/>
      <c r="N184" s="50"/>
      <c r="O184" s="48"/>
      <c r="P184" s="48"/>
      <c r="Q184" s="48"/>
      <c r="R184" s="48"/>
      <c r="S184" s="48"/>
      <c r="T184" s="48"/>
      <c r="U184" s="48"/>
      <c r="V184" s="48"/>
      <c r="W184" s="48"/>
      <c r="X184" s="48"/>
      <c r="Y184" s="48"/>
      <c r="Z184" s="48"/>
      <c r="AA184" s="48"/>
      <c r="AB184" s="48"/>
      <c r="AC184" s="48"/>
      <c r="AD184" s="48"/>
    </row>
    <row r="185" spans="1:30" ht="15.75" customHeight="1">
      <c r="A185" s="85"/>
      <c r="B185" s="48"/>
      <c r="C185" s="48"/>
      <c r="D185" s="48"/>
      <c r="E185" s="48"/>
      <c r="F185" s="48"/>
      <c r="G185" s="48"/>
      <c r="H185" s="48"/>
      <c r="I185" s="48"/>
      <c r="J185" s="48"/>
      <c r="K185" s="50"/>
      <c r="L185" s="48"/>
      <c r="M185" s="48"/>
      <c r="N185" s="50"/>
      <c r="O185" s="48"/>
      <c r="P185" s="48"/>
      <c r="Q185" s="48"/>
      <c r="R185" s="48"/>
      <c r="S185" s="48"/>
      <c r="T185" s="48"/>
      <c r="U185" s="48"/>
      <c r="V185" s="48"/>
      <c r="W185" s="48"/>
      <c r="X185" s="48"/>
      <c r="Y185" s="48"/>
      <c r="Z185" s="48"/>
      <c r="AA185" s="48"/>
      <c r="AB185" s="48"/>
      <c r="AC185" s="48"/>
      <c r="AD185" s="48"/>
    </row>
    <row r="186" spans="1:30" ht="15.75" customHeight="1">
      <c r="A186" s="85"/>
      <c r="B186" s="48"/>
      <c r="C186" s="48"/>
      <c r="D186" s="48"/>
      <c r="E186" s="48"/>
      <c r="F186" s="48"/>
      <c r="G186" s="48"/>
      <c r="H186" s="48"/>
      <c r="I186" s="48"/>
      <c r="J186" s="48"/>
      <c r="K186" s="50"/>
      <c r="L186" s="48"/>
      <c r="M186" s="48"/>
      <c r="N186" s="50"/>
      <c r="O186" s="48"/>
      <c r="P186" s="48"/>
      <c r="Q186" s="48"/>
      <c r="R186" s="48"/>
      <c r="S186" s="48"/>
      <c r="T186" s="48"/>
      <c r="U186" s="48"/>
      <c r="V186" s="48"/>
      <c r="W186" s="48"/>
      <c r="X186" s="48"/>
      <c r="Y186" s="48"/>
      <c r="Z186" s="48"/>
      <c r="AA186" s="48"/>
      <c r="AB186" s="48"/>
      <c r="AC186" s="48"/>
      <c r="AD186" s="48"/>
    </row>
    <row r="187" spans="1:30" ht="15.75" customHeight="1">
      <c r="A187" s="85"/>
      <c r="B187" s="48"/>
      <c r="C187" s="48"/>
      <c r="D187" s="48"/>
      <c r="E187" s="48"/>
      <c r="F187" s="48"/>
      <c r="G187" s="48"/>
      <c r="H187" s="48"/>
      <c r="I187" s="48"/>
      <c r="J187" s="48"/>
      <c r="K187" s="50"/>
      <c r="L187" s="48"/>
      <c r="M187" s="48"/>
      <c r="N187" s="50"/>
      <c r="O187" s="48"/>
      <c r="P187" s="48"/>
      <c r="Q187" s="48"/>
      <c r="R187" s="48"/>
      <c r="S187" s="48"/>
      <c r="T187" s="48"/>
      <c r="U187" s="48"/>
      <c r="V187" s="48"/>
      <c r="W187" s="48"/>
      <c r="X187" s="48"/>
      <c r="Y187" s="48"/>
      <c r="Z187" s="48"/>
      <c r="AA187" s="48"/>
      <c r="AB187" s="48"/>
      <c r="AC187" s="48"/>
      <c r="AD187" s="48"/>
    </row>
    <row r="188" spans="1:30" ht="15.75" customHeight="1">
      <c r="A188" s="85"/>
      <c r="B188" s="48"/>
      <c r="C188" s="48"/>
      <c r="D188" s="48"/>
      <c r="E188" s="48"/>
      <c r="F188" s="48"/>
      <c r="G188" s="48"/>
      <c r="H188" s="48"/>
      <c r="I188" s="48"/>
      <c r="J188" s="48"/>
      <c r="K188" s="50"/>
      <c r="L188" s="48"/>
      <c r="M188" s="48"/>
      <c r="N188" s="50"/>
      <c r="O188" s="48"/>
      <c r="P188" s="48"/>
      <c r="Q188" s="48"/>
      <c r="R188" s="48"/>
      <c r="S188" s="48"/>
      <c r="T188" s="48"/>
      <c r="U188" s="48"/>
      <c r="V188" s="48"/>
      <c r="W188" s="48"/>
      <c r="X188" s="48"/>
      <c r="Y188" s="48"/>
      <c r="Z188" s="48"/>
      <c r="AA188" s="48"/>
      <c r="AB188" s="48"/>
      <c r="AC188" s="48"/>
      <c r="AD188" s="48"/>
    </row>
    <row r="189" spans="1:30" ht="15.75" customHeight="1">
      <c r="A189" s="85"/>
      <c r="B189" s="48"/>
      <c r="C189" s="48"/>
      <c r="D189" s="48"/>
      <c r="E189" s="48"/>
      <c r="F189" s="48"/>
      <c r="G189" s="48"/>
      <c r="H189" s="48"/>
      <c r="I189" s="48"/>
      <c r="J189" s="48"/>
      <c r="K189" s="50"/>
      <c r="L189" s="48"/>
      <c r="M189" s="48"/>
      <c r="N189" s="50"/>
      <c r="O189" s="48"/>
      <c r="P189" s="48"/>
      <c r="Q189" s="48"/>
      <c r="R189" s="48"/>
      <c r="S189" s="48"/>
      <c r="T189" s="48"/>
      <c r="U189" s="48"/>
      <c r="V189" s="48"/>
      <c r="W189" s="48"/>
      <c r="X189" s="48"/>
      <c r="Y189" s="48"/>
      <c r="Z189" s="48"/>
      <c r="AA189" s="48"/>
      <c r="AB189" s="48"/>
      <c r="AC189" s="48"/>
      <c r="AD189" s="48"/>
    </row>
    <row r="190" spans="1:30" ht="15.75" customHeight="1">
      <c r="A190" s="85"/>
      <c r="B190" s="48"/>
      <c r="C190" s="48"/>
      <c r="D190" s="48"/>
      <c r="E190" s="48"/>
      <c r="F190" s="48"/>
      <c r="G190" s="48"/>
      <c r="H190" s="48"/>
      <c r="I190" s="48"/>
      <c r="J190" s="48"/>
      <c r="K190" s="50"/>
      <c r="L190" s="48"/>
      <c r="M190" s="48"/>
      <c r="N190" s="50"/>
      <c r="O190" s="48"/>
      <c r="P190" s="48"/>
      <c r="Q190" s="48"/>
      <c r="R190" s="48"/>
      <c r="S190" s="48"/>
      <c r="T190" s="48"/>
      <c r="U190" s="48"/>
      <c r="V190" s="48"/>
      <c r="W190" s="48"/>
      <c r="X190" s="48"/>
      <c r="Y190" s="48"/>
      <c r="Z190" s="48"/>
      <c r="AA190" s="48"/>
      <c r="AB190" s="48"/>
      <c r="AC190" s="48"/>
      <c r="AD190" s="48"/>
    </row>
    <row r="191" spans="1:30" ht="15.75" customHeight="1">
      <c r="A191" s="85"/>
      <c r="B191" s="48"/>
      <c r="C191" s="48"/>
      <c r="D191" s="48"/>
      <c r="E191" s="48"/>
      <c r="F191" s="48"/>
      <c r="G191" s="48"/>
      <c r="H191" s="48"/>
      <c r="I191" s="48"/>
      <c r="J191" s="48"/>
      <c r="K191" s="50"/>
      <c r="L191" s="48"/>
      <c r="M191" s="48"/>
      <c r="N191" s="50"/>
      <c r="O191" s="48"/>
      <c r="P191" s="48"/>
      <c r="Q191" s="48"/>
      <c r="R191" s="48"/>
      <c r="S191" s="48"/>
      <c r="T191" s="48"/>
      <c r="U191" s="48"/>
      <c r="V191" s="48"/>
      <c r="W191" s="48"/>
      <c r="X191" s="48"/>
      <c r="Y191" s="48"/>
      <c r="Z191" s="48"/>
      <c r="AA191" s="48"/>
      <c r="AB191" s="48"/>
      <c r="AC191" s="48"/>
      <c r="AD191" s="48"/>
    </row>
    <row r="192" spans="1:30" ht="15.75" customHeight="1">
      <c r="A192" s="85"/>
      <c r="B192" s="48"/>
      <c r="C192" s="48"/>
      <c r="D192" s="48"/>
      <c r="E192" s="48"/>
      <c r="F192" s="48"/>
      <c r="G192" s="48"/>
      <c r="H192" s="48"/>
      <c r="I192" s="48"/>
      <c r="J192" s="48"/>
      <c r="K192" s="50"/>
      <c r="L192" s="48"/>
      <c r="M192" s="48"/>
      <c r="N192" s="50"/>
      <c r="O192" s="48"/>
      <c r="P192" s="48"/>
      <c r="Q192" s="48"/>
      <c r="R192" s="48"/>
      <c r="S192" s="48"/>
      <c r="T192" s="48"/>
      <c r="U192" s="48"/>
      <c r="V192" s="48"/>
      <c r="W192" s="48"/>
      <c r="X192" s="48"/>
      <c r="Y192" s="48"/>
      <c r="Z192" s="48"/>
      <c r="AA192" s="48"/>
      <c r="AB192" s="48"/>
      <c r="AC192" s="48"/>
      <c r="AD192" s="48"/>
    </row>
    <row r="193" spans="1:30" ht="15.75" customHeight="1">
      <c r="A193" s="85"/>
      <c r="B193" s="48"/>
      <c r="C193" s="48"/>
      <c r="D193" s="48"/>
      <c r="E193" s="48"/>
      <c r="F193" s="48"/>
      <c r="G193" s="48"/>
      <c r="H193" s="48"/>
      <c r="I193" s="48"/>
      <c r="J193" s="48"/>
      <c r="K193" s="50"/>
      <c r="L193" s="48"/>
      <c r="M193" s="48"/>
      <c r="N193" s="50"/>
      <c r="O193" s="48"/>
      <c r="P193" s="48"/>
      <c r="Q193" s="48"/>
      <c r="R193" s="48"/>
      <c r="S193" s="48"/>
      <c r="T193" s="48"/>
      <c r="U193" s="48"/>
      <c r="V193" s="48"/>
      <c r="W193" s="48"/>
      <c r="X193" s="48"/>
      <c r="Y193" s="48"/>
      <c r="Z193" s="48"/>
      <c r="AA193" s="48"/>
      <c r="AB193" s="48"/>
      <c r="AC193" s="48"/>
      <c r="AD193" s="48"/>
    </row>
    <row r="194" spans="1:30" ht="15.75" customHeight="1">
      <c r="A194" s="85"/>
      <c r="B194" s="48"/>
      <c r="C194" s="48"/>
      <c r="D194" s="48"/>
      <c r="E194" s="48"/>
      <c r="F194" s="48"/>
      <c r="G194" s="48"/>
      <c r="H194" s="48"/>
      <c r="I194" s="48"/>
      <c r="J194" s="48"/>
      <c r="K194" s="50"/>
      <c r="L194" s="48"/>
      <c r="M194" s="48"/>
      <c r="N194" s="50"/>
      <c r="O194" s="48"/>
      <c r="P194" s="48"/>
      <c r="Q194" s="48"/>
      <c r="R194" s="48"/>
      <c r="S194" s="48"/>
      <c r="T194" s="48"/>
      <c r="U194" s="48"/>
      <c r="V194" s="48"/>
      <c r="W194" s="48"/>
      <c r="X194" s="48"/>
      <c r="Y194" s="48"/>
      <c r="Z194" s="48"/>
      <c r="AA194" s="48"/>
      <c r="AB194" s="48"/>
      <c r="AC194" s="48"/>
      <c r="AD194" s="48"/>
    </row>
    <row r="195" spans="1:30" ht="15.75" customHeight="1">
      <c r="A195" s="85"/>
      <c r="B195" s="48"/>
      <c r="C195" s="48"/>
      <c r="D195" s="48"/>
      <c r="E195" s="48"/>
      <c r="F195" s="48"/>
      <c r="G195" s="48"/>
      <c r="H195" s="48"/>
      <c r="I195" s="48"/>
      <c r="J195" s="48"/>
      <c r="K195" s="50"/>
      <c r="L195" s="48"/>
      <c r="M195" s="48"/>
      <c r="N195" s="50"/>
      <c r="O195" s="48"/>
      <c r="P195" s="48"/>
      <c r="Q195" s="48"/>
      <c r="R195" s="48"/>
      <c r="S195" s="48"/>
      <c r="T195" s="48"/>
      <c r="U195" s="48"/>
      <c r="V195" s="48"/>
      <c r="W195" s="48"/>
      <c r="X195" s="48"/>
      <c r="Y195" s="48"/>
      <c r="Z195" s="48"/>
      <c r="AA195" s="48"/>
      <c r="AB195" s="48"/>
      <c r="AC195" s="48"/>
      <c r="AD195" s="48"/>
    </row>
    <row r="196" spans="1:30" ht="15.75" customHeight="1">
      <c r="A196" s="85"/>
      <c r="B196" s="48"/>
      <c r="C196" s="48"/>
      <c r="D196" s="48"/>
      <c r="E196" s="48"/>
      <c r="F196" s="48"/>
      <c r="G196" s="48"/>
      <c r="H196" s="48"/>
      <c r="I196" s="48"/>
      <c r="J196" s="48"/>
      <c r="K196" s="50"/>
      <c r="L196" s="48"/>
      <c r="M196" s="48"/>
      <c r="N196" s="50"/>
      <c r="O196" s="48"/>
      <c r="P196" s="48"/>
      <c r="Q196" s="48"/>
      <c r="R196" s="48"/>
      <c r="S196" s="48"/>
      <c r="T196" s="48"/>
      <c r="U196" s="48"/>
      <c r="V196" s="48"/>
      <c r="W196" s="48"/>
      <c r="X196" s="48"/>
      <c r="Y196" s="48"/>
      <c r="Z196" s="48"/>
      <c r="AA196" s="48"/>
      <c r="AB196" s="48"/>
      <c r="AC196" s="48"/>
      <c r="AD196" s="48"/>
    </row>
    <row r="197" spans="1:30" ht="15.75" customHeight="1">
      <c r="A197" s="85"/>
      <c r="B197" s="48"/>
      <c r="C197" s="48"/>
      <c r="D197" s="48"/>
      <c r="E197" s="48"/>
      <c r="F197" s="48"/>
      <c r="G197" s="48"/>
      <c r="H197" s="48"/>
      <c r="I197" s="48"/>
      <c r="J197" s="48"/>
      <c r="K197" s="50"/>
      <c r="L197" s="48"/>
      <c r="M197" s="48"/>
      <c r="N197" s="50"/>
      <c r="O197" s="48"/>
      <c r="P197" s="48"/>
      <c r="Q197" s="48"/>
      <c r="R197" s="48"/>
      <c r="S197" s="48"/>
      <c r="T197" s="48"/>
      <c r="U197" s="48"/>
      <c r="V197" s="48"/>
      <c r="W197" s="48"/>
      <c r="X197" s="48"/>
      <c r="Y197" s="48"/>
      <c r="Z197" s="48"/>
      <c r="AA197" s="48"/>
      <c r="AB197" s="48"/>
      <c r="AC197" s="48"/>
      <c r="AD197" s="48"/>
    </row>
    <row r="198" spans="1:30" ht="15.75" customHeight="1">
      <c r="A198" s="85"/>
      <c r="B198" s="48"/>
      <c r="C198" s="48"/>
      <c r="D198" s="48"/>
      <c r="E198" s="48"/>
      <c r="F198" s="48"/>
      <c r="G198" s="48"/>
      <c r="H198" s="48"/>
      <c r="I198" s="48"/>
      <c r="J198" s="48"/>
      <c r="K198" s="50"/>
      <c r="L198" s="48"/>
      <c r="M198" s="48"/>
      <c r="N198" s="50"/>
      <c r="O198" s="48"/>
      <c r="P198" s="48"/>
      <c r="Q198" s="48"/>
      <c r="R198" s="48"/>
      <c r="S198" s="48"/>
      <c r="T198" s="48"/>
      <c r="U198" s="48"/>
      <c r="V198" s="48"/>
      <c r="W198" s="48"/>
      <c r="X198" s="48"/>
      <c r="Y198" s="48"/>
      <c r="Z198" s="48"/>
      <c r="AA198" s="48"/>
      <c r="AB198" s="48"/>
      <c r="AC198" s="48"/>
      <c r="AD198" s="48"/>
    </row>
    <row r="199" spans="1:30" ht="15.75" customHeight="1">
      <c r="A199" s="85"/>
      <c r="B199" s="48"/>
      <c r="C199" s="48"/>
      <c r="D199" s="48"/>
      <c r="E199" s="48"/>
      <c r="F199" s="48"/>
      <c r="G199" s="48"/>
      <c r="H199" s="48"/>
      <c r="I199" s="48"/>
      <c r="J199" s="48"/>
      <c r="K199" s="50"/>
      <c r="L199" s="48"/>
      <c r="M199" s="48"/>
      <c r="N199" s="50"/>
      <c r="O199" s="48"/>
      <c r="P199" s="48"/>
      <c r="Q199" s="48"/>
      <c r="R199" s="48"/>
      <c r="S199" s="48"/>
      <c r="T199" s="48"/>
      <c r="U199" s="48"/>
      <c r="V199" s="48"/>
      <c r="W199" s="48"/>
      <c r="X199" s="48"/>
      <c r="Y199" s="48"/>
      <c r="Z199" s="48"/>
      <c r="AA199" s="48"/>
      <c r="AB199" s="48"/>
      <c r="AC199" s="48"/>
      <c r="AD199" s="48"/>
    </row>
    <row r="200" spans="1:30" ht="15.75" customHeight="1">
      <c r="A200" s="85"/>
      <c r="B200" s="48"/>
      <c r="C200" s="48"/>
      <c r="D200" s="48"/>
      <c r="E200" s="48"/>
      <c r="F200" s="48"/>
      <c r="G200" s="48"/>
      <c r="H200" s="48"/>
      <c r="I200" s="48"/>
      <c r="J200" s="48"/>
      <c r="K200" s="50"/>
      <c r="L200" s="48"/>
      <c r="M200" s="48"/>
      <c r="N200" s="50"/>
      <c r="O200" s="48"/>
      <c r="P200" s="48"/>
      <c r="Q200" s="48"/>
      <c r="R200" s="48"/>
      <c r="S200" s="48"/>
      <c r="T200" s="48"/>
      <c r="U200" s="48"/>
      <c r="V200" s="48"/>
      <c r="W200" s="48"/>
      <c r="X200" s="48"/>
      <c r="Y200" s="48"/>
      <c r="Z200" s="48"/>
      <c r="AA200" s="48"/>
      <c r="AB200" s="48"/>
      <c r="AC200" s="48"/>
      <c r="AD200" s="48"/>
    </row>
    <row r="201" spans="1:30" ht="15.75" customHeight="1">
      <c r="A201" s="85"/>
      <c r="B201" s="48"/>
      <c r="C201" s="48"/>
      <c r="D201" s="48"/>
      <c r="E201" s="48"/>
      <c r="F201" s="48"/>
      <c r="G201" s="48"/>
      <c r="H201" s="48"/>
      <c r="I201" s="48"/>
      <c r="J201" s="48"/>
      <c r="K201" s="50"/>
      <c r="L201" s="48"/>
      <c r="M201" s="48"/>
      <c r="N201" s="50"/>
      <c r="O201" s="48"/>
      <c r="P201" s="48"/>
      <c r="Q201" s="48"/>
      <c r="R201" s="48"/>
      <c r="S201" s="48"/>
      <c r="T201" s="48"/>
      <c r="U201" s="48"/>
      <c r="V201" s="48"/>
      <c r="W201" s="48"/>
      <c r="X201" s="48"/>
      <c r="Y201" s="48"/>
      <c r="Z201" s="48"/>
      <c r="AA201" s="48"/>
      <c r="AB201" s="48"/>
      <c r="AC201" s="48"/>
      <c r="AD201" s="48"/>
    </row>
    <row r="202" spans="1:30" ht="15.75" customHeight="1">
      <c r="A202" s="85"/>
      <c r="B202" s="48"/>
      <c r="C202" s="48"/>
      <c r="D202" s="48"/>
      <c r="E202" s="48"/>
      <c r="F202" s="48"/>
      <c r="G202" s="48"/>
      <c r="H202" s="48"/>
      <c r="I202" s="48"/>
      <c r="J202" s="48"/>
      <c r="K202" s="50"/>
      <c r="L202" s="48"/>
      <c r="M202" s="48"/>
      <c r="N202" s="50"/>
      <c r="O202" s="48"/>
      <c r="P202" s="48"/>
      <c r="Q202" s="48"/>
      <c r="R202" s="48"/>
      <c r="S202" s="48"/>
      <c r="T202" s="48"/>
      <c r="U202" s="48"/>
      <c r="V202" s="48"/>
      <c r="W202" s="48"/>
      <c r="X202" s="48"/>
      <c r="Y202" s="48"/>
      <c r="Z202" s="48"/>
      <c r="AA202" s="48"/>
      <c r="AB202" s="48"/>
      <c r="AC202" s="48"/>
      <c r="AD202" s="48"/>
    </row>
    <row r="203" spans="1:30" ht="15.75" customHeight="1">
      <c r="A203" s="85"/>
      <c r="B203" s="48"/>
      <c r="C203" s="48"/>
      <c r="D203" s="48"/>
      <c r="E203" s="48"/>
      <c r="F203" s="48"/>
      <c r="G203" s="48"/>
      <c r="H203" s="48"/>
      <c r="I203" s="48"/>
      <c r="J203" s="48"/>
      <c r="K203" s="50"/>
      <c r="L203" s="48"/>
      <c r="M203" s="48"/>
      <c r="N203" s="50"/>
      <c r="O203" s="48"/>
      <c r="P203" s="48"/>
      <c r="Q203" s="48"/>
      <c r="R203" s="48"/>
      <c r="S203" s="48"/>
      <c r="T203" s="48"/>
      <c r="U203" s="48"/>
      <c r="V203" s="48"/>
      <c r="W203" s="48"/>
      <c r="X203" s="48"/>
      <c r="Y203" s="48"/>
      <c r="Z203" s="48"/>
      <c r="AA203" s="48"/>
      <c r="AB203" s="48"/>
      <c r="AC203" s="48"/>
      <c r="AD203" s="48"/>
    </row>
    <row r="204" spans="1:30" ht="15.75" customHeight="1">
      <c r="A204" s="85"/>
      <c r="B204" s="48"/>
      <c r="C204" s="48"/>
      <c r="D204" s="48"/>
      <c r="E204" s="48"/>
      <c r="F204" s="48"/>
      <c r="G204" s="48"/>
      <c r="H204" s="48"/>
      <c r="I204" s="48"/>
      <c r="J204" s="48"/>
      <c r="K204" s="50"/>
      <c r="L204" s="48"/>
      <c r="M204" s="48"/>
      <c r="N204" s="50"/>
      <c r="O204" s="48"/>
      <c r="P204" s="48"/>
      <c r="Q204" s="48"/>
      <c r="R204" s="48"/>
      <c r="S204" s="48"/>
      <c r="T204" s="48"/>
      <c r="U204" s="48"/>
      <c r="V204" s="48"/>
      <c r="W204" s="48"/>
      <c r="X204" s="48"/>
      <c r="Y204" s="48"/>
      <c r="Z204" s="48"/>
      <c r="AA204" s="48"/>
      <c r="AB204" s="48"/>
      <c r="AC204" s="48"/>
      <c r="AD204" s="48"/>
    </row>
    <row r="205" spans="1:30" ht="15.75" customHeight="1">
      <c r="A205" s="85"/>
      <c r="B205" s="48"/>
      <c r="C205" s="48"/>
      <c r="D205" s="48"/>
      <c r="E205" s="48"/>
      <c r="F205" s="48"/>
      <c r="G205" s="48"/>
      <c r="H205" s="48"/>
      <c r="I205" s="48"/>
      <c r="J205" s="48"/>
      <c r="K205" s="50"/>
      <c r="L205" s="48"/>
      <c r="M205" s="48"/>
      <c r="N205" s="50"/>
      <c r="O205" s="48"/>
      <c r="P205" s="48"/>
      <c r="Q205" s="48"/>
      <c r="R205" s="48"/>
      <c r="S205" s="48"/>
      <c r="T205" s="48"/>
      <c r="U205" s="48"/>
      <c r="V205" s="48"/>
      <c r="W205" s="48"/>
      <c r="X205" s="48"/>
      <c r="Y205" s="48"/>
      <c r="Z205" s="48"/>
      <c r="AA205" s="48"/>
      <c r="AB205" s="48"/>
      <c r="AC205" s="48"/>
      <c r="AD205" s="48"/>
    </row>
    <row r="206" spans="1:30" ht="15.75" customHeight="1">
      <c r="A206" s="85"/>
      <c r="B206" s="48"/>
      <c r="C206" s="48"/>
      <c r="D206" s="48"/>
      <c r="E206" s="48"/>
      <c r="F206" s="48"/>
      <c r="G206" s="48"/>
      <c r="H206" s="48"/>
      <c r="I206" s="48"/>
      <c r="J206" s="48"/>
      <c r="K206" s="50"/>
      <c r="L206" s="48"/>
      <c r="M206" s="48"/>
      <c r="N206" s="50"/>
      <c r="O206" s="48"/>
      <c r="P206" s="48"/>
      <c r="Q206" s="48"/>
      <c r="R206" s="48"/>
      <c r="S206" s="48"/>
      <c r="T206" s="48"/>
      <c r="U206" s="48"/>
      <c r="V206" s="48"/>
      <c r="W206" s="48"/>
      <c r="X206" s="48"/>
      <c r="Y206" s="48"/>
      <c r="Z206" s="48"/>
      <c r="AA206" s="48"/>
      <c r="AB206" s="48"/>
      <c r="AC206" s="48"/>
      <c r="AD206" s="48"/>
    </row>
    <row r="207" spans="1:30" ht="15.75" customHeight="1">
      <c r="A207" s="85"/>
      <c r="B207" s="48"/>
      <c r="C207" s="48"/>
      <c r="D207" s="48"/>
      <c r="E207" s="48"/>
      <c r="F207" s="48"/>
      <c r="G207" s="48"/>
      <c r="H207" s="48"/>
      <c r="I207" s="48"/>
      <c r="J207" s="48"/>
      <c r="K207" s="50"/>
      <c r="L207" s="48"/>
      <c r="M207" s="48"/>
      <c r="N207" s="50"/>
      <c r="O207" s="48"/>
      <c r="P207" s="48"/>
      <c r="Q207" s="48"/>
      <c r="R207" s="48"/>
      <c r="S207" s="48"/>
      <c r="T207" s="48"/>
      <c r="U207" s="48"/>
      <c r="V207" s="48"/>
      <c r="W207" s="48"/>
      <c r="X207" s="48"/>
      <c r="Y207" s="48"/>
      <c r="Z207" s="48"/>
      <c r="AA207" s="48"/>
      <c r="AB207" s="48"/>
      <c r="AC207" s="48"/>
      <c r="AD207" s="48"/>
    </row>
    <row r="208" spans="1:30" ht="15.75" customHeight="1">
      <c r="A208" s="85"/>
      <c r="B208" s="48"/>
      <c r="C208" s="48"/>
      <c r="D208" s="48"/>
      <c r="E208" s="48"/>
      <c r="F208" s="48"/>
      <c r="G208" s="48"/>
      <c r="H208" s="48"/>
      <c r="I208" s="48"/>
      <c r="J208" s="48"/>
      <c r="K208" s="50"/>
      <c r="L208" s="48"/>
      <c r="M208" s="48"/>
      <c r="N208" s="50"/>
      <c r="O208" s="48"/>
      <c r="P208" s="48"/>
      <c r="Q208" s="48"/>
      <c r="R208" s="48"/>
      <c r="S208" s="48"/>
      <c r="T208" s="48"/>
      <c r="U208" s="48"/>
      <c r="V208" s="48"/>
      <c r="W208" s="48"/>
      <c r="X208" s="48"/>
      <c r="Y208" s="48"/>
      <c r="Z208" s="48"/>
      <c r="AA208" s="48"/>
      <c r="AB208" s="48"/>
      <c r="AC208" s="48"/>
      <c r="AD208" s="48"/>
    </row>
    <row r="209" spans="1:30" ht="15.75" customHeight="1">
      <c r="A209" s="85"/>
      <c r="B209" s="48"/>
      <c r="C209" s="48"/>
      <c r="D209" s="48"/>
      <c r="E209" s="48"/>
      <c r="F209" s="48"/>
      <c r="G209" s="48"/>
      <c r="H209" s="48"/>
      <c r="I209" s="48"/>
      <c r="J209" s="48"/>
      <c r="K209" s="50"/>
      <c r="L209" s="48"/>
      <c r="M209" s="48"/>
      <c r="N209" s="50"/>
      <c r="O209" s="48"/>
      <c r="P209" s="48"/>
      <c r="Q209" s="48"/>
      <c r="R209" s="48"/>
      <c r="S209" s="48"/>
      <c r="T209" s="48"/>
      <c r="U209" s="48"/>
      <c r="V209" s="48"/>
      <c r="W209" s="48"/>
      <c r="X209" s="48"/>
      <c r="Y209" s="48"/>
      <c r="Z209" s="48"/>
      <c r="AA209" s="48"/>
      <c r="AB209" s="48"/>
      <c r="AC209" s="48"/>
      <c r="AD209" s="48"/>
    </row>
    <row r="210" spans="1:30" ht="15.75" customHeight="1">
      <c r="A210" s="85"/>
      <c r="B210" s="48"/>
      <c r="C210" s="48"/>
      <c r="D210" s="48"/>
      <c r="E210" s="48"/>
      <c r="F210" s="48"/>
      <c r="G210" s="48"/>
      <c r="H210" s="48"/>
      <c r="I210" s="48"/>
      <c r="J210" s="48"/>
      <c r="K210" s="50"/>
      <c r="L210" s="48"/>
      <c r="M210" s="48"/>
      <c r="N210" s="50"/>
      <c r="O210" s="48"/>
      <c r="P210" s="48"/>
      <c r="Q210" s="48"/>
      <c r="R210" s="48"/>
      <c r="S210" s="48"/>
      <c r="T210" s="48"/>
      <c r="U210" s="48"/>
      <c r="V210" s="48"/>
      <c r="W210" s="48"/>
      <c r="X210" s="48"/>
      <c r="Y210" s="48"/>
      <c r="Z210" s="48"/>
      <c r="AA210" s="48"/>
      <c r="AB210" s="48"/>
      <c r="AC210" s="48"/>
      <c r="AD210" s="48"/>
    </row>
    <row r="211" spans="1:30" ht="15.75" customHeight="1">
      <c r="A211" s="85"/>
      <c r="B211" s="48"/>
      <c r="C211" s="48"/>
      <c r="D211" s="48"/>
      <c r="E211" s="48"/>
      <c r="F211" s="48"/>
      <c r="G211" s="48"/>
      <c r="H211" s="48"/>
      <c r="I211" s="48"/>
      <c r="J211" s="48"/>
      <c r="K211" s="50"/>
      <c r="L211" s="48"/>
      <c r="M211" s="48"/>
      <c r="N211" s="50"/>
      <c r="O211" s="48"/>
      <c r="P211" s="48"/>
      <c r="Q211" s="48"/>
      <c r="R211" s="48"/>
      <c r="S211" s="48"/>
      <c r="T211" s="48"/>
      <c r="U211" s="48"/>
      <c r="V211" s="48"/>
      <c r="W211" s="48"/>
      <c r="X211" s="48"/>
      <c r="Y211" s="48"/>
      <c r="Z211" s="48"/>
      <c r="AA211" s="48"/>
      <c r="AB211" s="48"/>
      <c r="AC211" s="48"/>
      <c r="AD211" s="48"/>
    </row>
    <row r="212" spans="1:30" ht="15.75" customHeight="1">
      <c r="A212" s="85"/>
      <c r="B212" s="48"/>
      <c r="C212" s="48"/>
      <c r="D212" s="48"/>
      <c r="E212" s="48"/>
      <c r="F212" s="48"/>
      <c r="G212" s="48"/>
      <c r="H212" s="48"/>
      <c r="I212" s="48"/>
      <c r="J212" s="48"/>
      <c r="K212" s="50"/>
      <c r="L212" s="48"/>
      <c r="M212" s="48"/>
      <c r="N212" s="50"/>
      <c r="O212" s="48"/>
      <c r="P212" s="48"/>
      <c r="Q212" s="48"/>
      <c r="R212" s="48"/>
      <c r="S212" s="48"/>
      <c r="T212" s="48"/>
      <c r="U212" s="48"/>
      <c r="V212" s="48"/>
      <c r="W212" s="48"/>
      <c r="X212" s="48"/>
      <c r="Y212" s="48"/>
      <c r="Z212" s="48"/>
      <c r="AA212" s="48"/>
      <c r="AB212" s="48"/>
      <c r="AC212" s="48"/>
      <c r="AD212" s="48"/>
    </row>
    <row r="213" spans="1:30" ht="15.75" customHeight="1">
      <c r="A213" s="85"/>
      <c r="B213" s="48"/>
      <c r="C213" s="48"/>
      <c r="D213" s="48"/>
      <c r="E213" s="48"/>
      <c r="F213" s="48"/>
      <c r="G213" s="48"/>
      <c r="H213" s="48"/>
      <c r="I213" s="48"/>
      <c r="J213" s="48"/>
      <c r="K213" s="50"/>
      <c r="L213" s="48"/>
      <c r="M213" s="48"/>
      <c r="N213" s="50"/>
      <c r="O213" s="48"/>
      <c r="P213" s="48"/>
      <c r="Q213" s="48"/>
      <c r="R213" s="48"/>
      <c r="S213" s="48"/>
      <c r="T213" s="48"/>
      <c r="U213" s="48"/>
      <c r="V213" s="48"/>
      <c r="W213" s="48"/>
      <c r="X213" s="48"/>
      <c r="Y213" s="48"/>
      <c r="Z213" s="48"/>
      <c r="AA213" s="48"/>
      <c r="AB213" s="48"/>
      <c r="AC213" s="48"/>
      <c r="AD213" s="48"/>
    </row>
    <row r="214" spans="1:30" ht="15.75" customHeight="1">
      <c r="A214" s="85"/>
      <c r="B214" s="48"/>
      <c r="C214" s="48"/>
      <c r="D214" s="48"/>
      <c r="E214" s="48"/>
      <c r="F214" s="48"/>
      <c r="G214" s="48"/>
      <c r="H214" s="48"/>
      <c r="I214" s="48"/>
      <c r="J214" s="48"/>
      <c r="K214" s="50"/>
      <c r="L214" s="48"/>
      <c r="M214" s="48"/>
      <c r="N214" s="50"/>
      <c r="O214" s="48"/>
      <c r="P214" s="48"/>
      <c r="Q214" s="48"/>
      <c r="R214" s="48"/>
      <c r="S214" s="48"/>
      <c r="T214" s="48"/>
      <c r="U214" s="48"/>
      <c r="V214" s="48"/>
      <c r="W214" s="48"/>
      <c r="X214" s="48"/>
      <c r="Y214" s="48"/>
      <c r="Z214" s="48"/>
      <c r="AA214" s="48"/>
      <c r="AB214" s="48"/>
      <c r="AC214" s="48"/>
      <c r="AD214" s="48"/>
    </row>
    <row r="215" spans="1:30" ht="15.75" customHeight="1">
      <c r="A215" s="85"/>
      <c r="B215" s="48"/>
      <c r="C215" s="48"/>
      <c r="D215" s="48"/>
      <c r="E215" s="48"/>
      <c r="F215" s="48"/>
      <c r="G215" s="48"/>
      <c r="H215" s="48"/>
      <c r="I215" s="48"/>
      <c r="J215" s="48"/>
      <c r="K215" s="50"/>
      <c r="L215" s="48"/>
      <c r="M215" s="48"/>
      <c r="N215" s="50"/>
      <c r="O215" s="48"/>
      <c r="P215" s="48"/>
      <c r="Q215" s="48"/>
      <c r="R215" s="48"/>
      <c r="S215" s="48"/>
      <c r="T215" s="48"/>
      <c r="U215" s="48"/>
      <c r="V215" s="48"/>
      <c r="W215" s="48"/>
      <c r="X215" s="48"/>
      <c r="Y215" s="48"/>
      <c r="Z215" s="48"/>
      <c r="AA215" s="48"/>
      <c r="AB215" s="48"/>
      <c r="AC215" s="48"/>
      <c r="AD215" s="48"/>
    </row>
    <row r="216" spans="1:30" ht="15.75" customHeight="1">
      <c r="A216" s="85"/>
      <c r="B216" s="48"/>
      <c r="C216" s="48"/>
      <c r="D216" s="48"/>
      <c r="E216" s="48"/>
      <c r="F216" s="48"/>
      <c r="G216" s="48"/>
      <c r="H216" s="48"/>
      <c r="I216" s="48"/>
      <c r="J216" s="48"/>
      <c r="K216" s="50"/>
      <c r="L216" s="48"/>
      <c r="M216" s="48"/>
      <c r="N216" s="50"/>
      <c r="O216" s="48"/>
      <c r="P216" s="48"/>
      <c r="Q216" s="48"/>
      <c r="R216" s="48"/>
      <c r="S216" s="48"/>
      <c r="T216" s="48"/>
      <c r="U216" s="48"/>
      <c r="V216" s="48"/>
      <c r="W216" s="48"/>
      <c r="X216" s="48"/>
      <c r="Y216" s="48"/>
      <c r="Z216" s="48"/>
      <c r="AA216" s="48"/>
      <c r="AB216" s="48"/>
      <c r="AC216" s="48"/>
      <c r="AD216" s="48"/>
    </row>
    <row r="217" spans="1:30" ht="15.75" customHeight="1">
      <c r="A217" s="85"/>
      <c r="B217" s="48"/>
      <c r="C217" s="48"/>
      <c r="D217" s="48"/>
      <c r="E217" s="48"/>
      <c r="F217" s="48"/>
      <c r="G217" s="48"/>
      <c r="H217" s="48"/>
      <c r="I217" s="48"/>
      <c r="J217" s="48"/>
      <c r="K217" s="50"/>
      <c r="L217" s="48"/>
      <c r="M217" s="48"/>
      <c r="N217" s="50"/>
      <c r="O217" s="48"/>
      <c r="P217" s="48"/>
      <c r="Q217" s="48"/>
      <c r="R217" s="48"/>
      <c r="S217" s="48"/>
      <c r="T217" s="48"/>
      <c r="U217" s="48"/>
      <c r="V217" s="48"/>
      <c r="W217" s="48"/>
      <c r="X217" s="48"/>
      <c r="Y217" s="48"/>
      <c r="Z217" s="48"/>
      <c r="AA217" s="48"/>
      <c r="AB217" s="48"/>
      <c r="AC217" s="48"/>
      <c r="AD217" s="48"/>
    </row>
    <row r="218" spans="1:30" ht="15.75" customHeight="1">
      <c r="A218" s="85"/>
      <c r="B218" s="48"/>
      <c r="C218" s="48"/>
      <c r="D218" s="48"/>
      <c r="E218" s="48"/>
      <c r="F218" s="48"/>
      <c r="G218" s="48"/>
      <c r="H218" s="48"/>
      <c r="I218" s="48"/>
      <c r="J218" s="48"/>
      <c r="K218" s="50"/>
      <c r="L218" s="48"/>
      <c r="M218" s="48"/>
      <c r="N218" s="50"/>
      <c r="O218" s="48"/>
      <c r="P218" s="48"/>
      <c r="Q218" s="48"/>
      <c r="R218" s="48"/>
      <c r="S218" s="48"/>
      <c r="T218" s="48"/>
      <c r="U218" s="48"/>
      <c r="V218" s="48"/>
      <c r="W218" s="48"/>
      <c r="X218" s="48"/>
      <c r="Y218" s="48"/>
      <c r="Z218" s="48"/>
      <c r="AA218" s="48"/>
      <c r="AB218" s="48"/>
      <c r="AC218" s="48"/>
      <c r="AD218" s="48"/>
    </row>
    <row r="219" spans="1:30" ht="15.75" customHeight="1">
      <c r="A219" s="85"/>
      <c r="B219" s="48"/>
      <c r="C219" s="48"/>
      <c r="D219" s="48"/>
      <c r="E219" s="48"/>
      <c r="F219" s="48"/>
      <c r="G219" s="48"/>
      <c r="H219" s="48"/>
      <c r="I219" s="48"/>
      <c r="J219" s="48"/>
      <c r="K219" s="50"/>
      <c r="L219" s="48"/>
      <c r="M219" s="48"/>
      <c r="N219" s="50"/>
      <c r="O219" s="48"/>
      <c r="P219" s="48"/>
      <c r="Q219" s="48"/>
      <c r="R219" s="48"/>
      <c r="S219" s="48"/>
      <c r="T219" s="48"/>
      <c r="U219" s="48"/>
      <c r="V219" s="48"/>
      <c r="W219" s="48"/>
      <c r="X219" s="48"/>
      <c r="Y219" s="48"/>
      <c r="Z219" s="48"/>
      <c r="AA219" s="48"/>
      <c r="AB219" s="48"/>
      <c r="AC219" s="48"/>
      <c r="AD219" s="48"/>
    </row>
    <row r="220" spans="1:30" ht="15.75" customHeight="1">
      <c r="A220" s="85"/>
      <c r="B220" s="48"/>
      <c r="C220" s="48"/>
      <c r="D220" s="48"/>
      <c r="E220" s="48"/>
      <c r="F220" s="48"/>
      <c r="G220" s="48"/>
      <c r="H220" s="48"/>
      <c r="I220" s="48"/>
      <c r="J220" s="48"/>
      <c r="K220" s="50"/>
      <c r="L220" s="48"/>
      <c r="M220" s="48"/>
      <c r="N220" s="50"/>
      <c r="O220" s="48"/>
      <c r="P220" s="48"/>
      <c r="Q220" s="48"/>
      <c r="R220" s="48"/>
      <c r="S220" s="48"/>
      <c r="T220" s="48"/>
      <c r="U220" s="48"/>
      <c r="V220" s="48"/>
      <c r="W220" s="48"/>
      <c r="X220" s="48"/>
      <c r="Y220" s="48"/>
      <c r="Z220" s="48"/>
      <c r="AA220" s="48"/>
      <c r="AB220" s="48"/>
      <c r="AC220" s="48"/>
      <c r="AD220" s="48"/>
    </row>
    <row r="221" spans="1:30" ht="15.75" customHeight="1">
      <c r="A221" s="85"/>
      <c r="B221" s="48"/>
      <c r="C221" s="48"/>
      <c r="D221" s="48"/>
      <c r="E221" s="48"/>
      <c r="F221" s="48"/>
      <c r="G221" s="48"/>
      <c r="H221" s="48"/>
      <c r="I221" s="48"/>
      <c r="J221" s="48"/>
      <c r="K221" s="50"/>
      <c r="L221" s="48"/>
      <c r="M221" s="48"/>
      <c r="N221" s="50"/>
      <c r="O221" s="48"/>
      <c r="P221" s="48"/>
      <c r="Q221" s="48"/>
      <c r="R221" s="48"/>
      <c r="S221" s="48"/>
      <c r="T221" s="48"/>
      <c r="U221" s="48"/>
      <c r="V221" s="48"/>
      <c r="W221" s="48"/>
      <c r="X221" s="48"/>
      <c r="Y221" s="48"/>
      <c r="Z221" s="48"/>
      <c r="AA221" s="48"/>
      <c r="AB221" s="48"/>
      <c r="AC221" s="48"/>
      <c r="AD221" s="48"/>
    </row>
    <row r="222" spans="1:30" ht="15.75" customHeight="1">
      <c r="A222" s="85"/>
      <c r="B222" s="48"/>
      <c r="C222" s="48"/>
      <c r="D222" s="48"/>
      <c r="E222" s="48"/>
      <c r="F222" s="48"/>
      <c r="G222" s="48"/>
      <c r="H222" s="48"/>
      <c r="I222" s="48"/>
      <c r="J222" s="48"/>
      <c r="K222" s="50"/>
      <c r="L222" s="48"/>
      <c r="M222" s="48"/>
      <c r="N222" s="50"/>
      <c r="O222" s="48"/>
      <c r="P222" s="48"/>
      <c r="Q222" s="48"/>
      <c r="R222" s="48"/>
      <c r="S222" s="48"/>
      <c r="T222" s="48"/>
      <c r="U222" s="48"/>
      <c r="V222" s="48"/>
      <c r="W222" s="48"/>
      <c r="X222" s="48"/>
      <c r="Y222" s="48"/>
      <c r="Z222" s="48"/>
      <c r="AA222" s="48"/>
      <c r="AB222" s="48"/>
      <c r="AC222" s="48"/>
      <c r="AD222" s="48"/>
    </row>
    <row r="223" spans="1:30" ht="15.75" customHeight="1">
      <c r="A223" s="85"/>
      <c r="B223" s="48"/>
      <c r="C223" s="48"/>
      <c r="D223" s="48"/>
      <c r="E223" s="48"/>
      <c r="F223" s="48"/>
      <c r="G223" s="48"/>
      <c r="H223" s="48"/>
      <c r="I223" s="48"/>
      <c r="J223" s="48"/>
      <c r="K223" s="50"/>
      <c r="L223" s="48"/>
      <c r="M223" s="48"/>
      <c r="N223" s="50"/>
      <c r="O223" s="48"/>
      <c r="P223" s="48"/>
      <c r="Q223" s="48"/>
      <c r="R223" s="48"/>
      <c r="S223" s="48"/>
      <c r="T223" s="48"/>
      <c r="U223" s="48"/>
      <c r="V223" s="48"/>
      <c r="W223" s="48"/>
      <c r="X223" s="48"/>
      <c r="Y223" s="48"/>
      <c r="Z223" s="48"/>
      <c r="AA223" s="48"/>
      <c r="AB223" s="48"/>
      <c r="AC223" s="48"/>
      <c r="AD223" s="48"/>
    </row>
    <row r="224" spans="1:30" ht="15.75" customHeight="1">
      <c r="A224" s="85"/>
      <c r="B224" s="48"/>
      <c r="C224" s="48"/>
      <c r="D224" s="48"/>
      <c r="E224" s="48"/>
      <c r="F224" s="48"/>
      <c r="G224" s="48"/>
      <c r="H224" s="48"/>
      <c r="I224" s="48"/>
      <c r="J224" s="48"/>
      <c r="K224" s="50"/>
      <c r="L224" s="48"/>
      <c r="M224" s="48"/>
      <c r="N224" s="50"/>
      <c r="O224" s="48"/>
      <c r="P224" s="48"/>
      <c r="Q224" s="48"/>
      <c r="R224" s="48"/>
      <c r="S224" s="48"/>
      <c r="T224" s="48"/>
      <c r="U224" s="48"/>
      <c r="V224" s="48"/>
      <c r="W224" s="48"/>
      <c r="X224" s="48"/>
      <c r="Y224" s="48"/>
      <c r="Z224" s="48"/>
      <c r="AA224" s="48"/>
      <c r="AB224" s="48"/>
      <c r="AC224" s="48"/>
      <c r="AD224" s="48"/>
    </row>
    <row r="225" spans="1:30" ht="15.75" customHeight="1">
      <c r="A225" s="85"/>
      <c r="B225" s="48"/>
      <c r="C225" s="48"/>
      <c r="D225" s="48"/>
      <c r="E225" s="48"/>
      <c r="F225" s="48"/>
      <c r="G225" s="48"/>
      <c r="H225" s="48"/>
      <c r="I225" s="48"/>
      <c r="J225" s="48"/>
      <c r="K225" s="50"/>
      <c r="L225" s="48"/>
      <c r="M225" s="48"/>
      <c r="N225" s="50"/>
      <c r="O225" s="48"/>
      <c r="P225" s="48"/>
      <c r="Q225" s="48"/>
      <c r="R225" s="48"/>
      <c r="S225" s="48"/>
      <c r="T225" s="48"/>
      <c r="U225" s="48"/>
      <c r="V225" s="48"/>
      <c r="W225" s="48"/>
      <c r="X225" s="48"/>
      <c r="Y225" s="48"/>
      <c r="Z225" s="48"/>
      <c r="AA225" s="48"/>
      <c r="AB225" s="48"/>
      <c r="AC225" s="48"/>
      <c r="AD225" s="48"/>
    </row>
    <row r="226" spans="1:30" ht="15.75" customHeight="1">
      <c r="A226" s="85"/>
      <c r="B226" s="48"/>
      <c r="C226" s="48"/>
      <c r="D226" s="48"/>
      <c r="E226" s="48"/>
      <c r="F226" s="48"/>
      <c r="G226" s="48"/>
      <c r="H226" s="48"/>
      <c r="I226" s="48"/>
      <c r="J226" s="48"/>
      <c r="K226" s="50"/>
      <c r="L226" s="48"/>
      <c r="M226" s="48"/>
      <c r="N226" s="50"/>
      <c r="O226" s="48"/>
      <c r="P226" s="48"/>
      <c r="Q226" s="48"/>
      <c r="R226" s="48"/>
      <c r="S226" s="48"/>
      <c r="T226" s="48"/>
      <c r="U226" s="48"/>
      <c r="V226" s="48"/>
      <c r="W226" s="48"/>
      <c r="X226" s="48"/>
      <c r="Y226" s="48"/>
      <c r="Z226" s="48"/>
      <c r="AA226" s="48"/>
      <c r="AB226" s="48"/>
      <c r="AC226" s="48"/>
      <c r="AD226" s="48"/>
    </row>
    <row r="227" spans="1:30" ht="15.75" customHeight="1">
      <c r="A227" s="85"/>
      <c r="B227" s="48"/>
      <c r="C227" s="48"/>
      <c r="D227" s="48"/>
      <c r="E227" s="48"/>
      <c r="F227" s="48"/>
      <c r="G227" s="48"/>
      <c r="H227" s="48"/>
      <c r="I227" s="48"/>
      <c r="J227" s="48"/>
      <c r="K227" s="50"/>
      <c r="L227" s="48"/>
      <c r="M227" s="48"/>
      <c r="N227" s="50"/>
      <c r="O227" s="48"/>
      <c r="P227" s="48"/>
      <c r="Q227" s="48"/>
      <c r="R227" s="48"/>
      <c r="S227" s="48"/>
      <c r="T227" s="48"/>
      <c r="U227" s="48"/>
      <c r="V227" s="48"/>
      <c r="W227" s="48"/>
      <c r="X227" s="48"/>
      <c r="Y227" s="48"/>
      <c r="Z227" s="48"/>
      <c r="AA227" s="48"/>
      <c r="AB227" s="48"/>
      <c r="AC227" s="48"/>
      <c r="AD227" s="48"/>
    </row>
    <row r="228" spans="1:30" ht="15.75" customHeight="1">
      <c r="A228" s="85"/>
      <c r="B228" s="48"/>
      <c r="C228" s="48"/>
      <c r="D228" s="48"/>
      <c r="E228" s="48"/>
      <c r="F228" s="48"/>
      <c r="G228" s="48"/>
      <c r="H228" s="48"/>
      <c r="I228" s="48"/>
      <c r="J228" s="48"/>
      <c r="K228" s="50"/>
      <c r="L228" s="48"/>
      <c r="M228" s="48"/>
      <c r="N228" s="50"/>
      <c r="O228" s="48"/>
      <c r="P228" s="48"/>
      <c r="Q228" s="48"/>
      <c r="R228" s="48"/>
      <c r="S228" s="48"/>
      <c r="T228" s="48"/>
      <c r="U228" s="48"/>
      <c r="V228" s="48"/>
      <c r="W228" s="48"/>
      <c r="X228" s="48"/>
      <c r="Y228" s="48"/>
      <c r="Z228" s="48"/>
      <c r="AA228" s="48"/>
      <c r="AB228" s="48"/>
      <c r="AC228" s="48"/>
      <c r="AD228" s="48"/>
    </row>
    <row r="229" spans="1:30" ht="15.75" customHeight="1">
      <c r="A229" s="85"/>
      <c r="B229" s="48"/>
      <c r="C229" s="48"/>
      <c r="D229" s="48"/>
      <c r="E229" s="48"/>
      <c r="F229" s="48"/>
      <c r="G229" s="48"/>
      <c r="H229" s="48"/>
      <c r="I229" s="48"/>
      <c r="J229" s="48"/>
      <c r="K229" s="50"/>
      <c r="L229" s="48"/>
      <c r="M229" s="48"/>
      <c r="N229" s="50"/>
      <c r="O229" s="48"/>
      <c r="P229" s="48"/>
      <c r="Q229" s="48"/>
      <c r="R229" s="48"/>
      <c r="S229" s="48"/>
      <c r="T229" s="48"/>
      <c r="U229" s="48"/>
      <c r="V229" s="48"/>
      <c r="W229" s="48"/>
      <c r="X229" s="48"/>
      <c r="Y229" s="48"/>
      <c r="Z229" s="48"/>
      <c r="AA229" s="48"/>
      <c r="AB229" s="48"/>
      <c r="AC229" s="48"/>
      <c r="AD229" s="48"/>
    </row>
    <row r="230" spans="1:30" ht="15.75" customHeight="1">
      <c r="A230" s="85"/>
      <c r="B230" s="48"/>
      <c r="C230" s="48"/>
      <c r="D230" s="48"/>
      <c r="E230" s="48"/>
      <c r="F230" s="48"/>
      <c r="G230" s="48"/>
      <c r="H230" s="48"/>
      <c r="I230" s="48"/>
      <c r="J230" s="48"/>
      <c r="K230" s="50"/>
      <c r="L230" s="48"/>
      <c r="M230" s="48"/>
      <c r="N230" s="50"/>
      <c r="O230" s="48"/>
      <c r="P230" s="48"/>
      <c r="Q230" s="48"/>
      <c r="R230" s="48"/>
      <c r="S230" s="48"/>
      <c r="T230" s="48"/>
      <c r="U230" s="48"/>
      <c r="V230" s="48"/>
      <c r="W230" s="48"/>
      <c r="X230" s="48"/>
      <c r="Y230" s="48"/>
      <c r="Z230" s="48"/>
      <c r="AA230" s="48"/>
      <c r="AB230" s="48"/>
      <c r="AC230" s="48"/>
      <c r="AD230" s="48"/>
    </row>
    <row r="231" spans="1:30" ht="15.75" customHeight="1">
      <c r="A231" s="85"/>
      <c r="B231" s="48"/>
      <c r="C231" s="48"/>
      <c r="D231" s="48"/>
      <c r="E231" s="48"/>
      <c r="F231" s="48"/>
      <c r="G231" s="48"/>
      <c r="H231" s="48"/>
      <c r="I231" s="48"/>
      <c r="J231" s="48"/>
      <c r="K231" s="50"/>
      <c r="L231" s="48"/>
      <c r="M231" s="48"/>
      <c r="N231" s="50"/>
      <c r="O231" s="48"/>
      <c r="P231" s="48"/>
      <c r="Q231" s="48"/>
      <c r="R231" s="48"/>
      <c r="S231" s="48"/>
      <c r="T231" s="48"/>
      <c r="U231" s="48"/>
      <c r="V231" s="48"/>
      <c r="W231" s="48"/>
      <c r="X231" s="48"/>
      <c r="Y231" s="48"/>
      <c r="Z231" s="48"/>
      <c r="AA231" s="48"/>
      <c r="AB231" s="48"/>
      <c r="AC231" s="48"/>
      <c r="AD231" s="48"/>
    </row>
    <row r="232" spans="1:30" ht="15.75" customHeight="1">
      <c r="A232" s="85"/>
      <c r="B232" s="48"/>
      <c r="C232" s="48"/>
      <c r="D232" s="48"/>
      <c r="E232" s="48"/>
      <c r="F232" s="48"/>
      <c r="G232" s="48"/>
      <c r="H232" s="48"/>
      <c r="I232" s="48"/>
      <c r="J232" s="48"/>
      <c r="K232" s="50"/>
      <c r="L232" s="48"/>
      <c r="M232" s="48"/>
      <c r="N232" s="50"/>
      <c r="O232" s="48"/>
      <c r="P232" s="48"/>
      <c r="Q232" s="48"/>
      <c r="R232" s="48"/>
      <c r="S232" s="48"/>
      <c r="T232" s="48"/>
      <c r="U232" s="48"/>
      <c r="V232" s="48"/>
      <c r="W232" s="48"/>
      <c r="X232" s="48"/>
      <c r="Y232" s="48"/>
      <c r="Z232" s="48"/>
      <c r="AA232" s="48"/>
      <c r="AB232" s="48"/>
      <c r="AC232" s="48"/>
      <c r="AD232" s="48"/>
    </row>
    <row r="233" spans="1:30" ht="15.75" customHeight="1">
      <c r="A233" s="85"/>
      <c r="B233" s="48"/>
      <c r="C233" s="48"/>
      <c r="D233" s="48"/>
      <c r="E233" s="48"/>
      <c r="F233" s="48"/>
      <c r="G233" s="48"/>
      <c r="H233" s="48"/>
      <c r="I233" s="48"/>
      <c r="J233" s="48"/>
      <c r="K233" s="50"/>
      <c r="L233" s="48"/>
      <c r="M233" s="48"/>
      <c r="N233" s="50"/>
      <c r="O233" s="48"/>
      <c r="P233" s="48"/>
      <c r="Q233" s="48"/>
      <c r="R233" s="48"/>
      <c r="S233" s="48"/>
      <c r="T233" s="48"/>
      <c r="U233" s="48"/>
      <c r="V233" s="48"/>
      <c r="W233" s="48"/>
      <c r="X233" s="48"/>
      <c r="Y233" s="48"/>
      <c r="Z233" s="48"/>
      <c r="AA233" s="48"/>
      <c r="AB233" s="48"/>
      <c r="AC233" s="48"/>
      <c r="AD233" s="48"/>
    </row>
    <row r="234" spans="1:30" ht="15.75" customHeight="1">
      <c r="A234" s="85"/>
      <c r="B234" s="48"/>
      <c r="C234" s="48"/>
      <c r="D234" s="48"/>
      <c r="E234" s="48"/>
      <c r="F234" s="48"/>
      <c r="G234" s="48"/>
      <c r="H234" s="48"/>
      <c r="I234" s="48"/>
      <c r="J234" s="48"/>
      <c r="K234" s="50"/>
      <c r="L234" s="48"/>
      <c r="M234" s="48"/>
      <c r="N234" s="50"/>
      <c r="O234" s="48"/>
      <c r="P234" s="48"/>
      <c r="Q234" s="48"/>
      <c r="R234" s="48"/>
      <c r="S234" s="48"/>
      <c r="T234" s="48"/>
      <c r="U234" s="48"/>
      <c r="V234" s="48"/>
      <c r="W234" s="48"/>
      <c r="X234" s="48"/>
      <c r="Y234" s="48"/>
      <c r="Z234" s="48"/>
      <c r="AA234" s="48"/>
      <c r="AB234" s="48"/>
      <c r="AC234" s="48"/>
      <c r="AD234" s="48"/>
    </row>
    <row r="235" spans="1:30" ht="15.75" customHeight="1">
      <c r="A235" s="85"/>
      <c r="B235" s="48"/>
      <c r="C235" s="48"/>
      <c r="D235" s="48"/>
      <c r="E235" s="48"/>
      <c r="F235" s="48"/>
      <c r="G235" s="48"/>
      <c r="H235" s="48"/>
      <c r="I235" s="48"/>
      <c r="J235" s="48"/>
      <c r="K235" s="50"/>
      <c r="L235" s="48"/>
      <c r="M235" s="48"/>
      <c r="N235" s="50"/>
      <c r="O235" s="48"/>
      <c r="P235" s="48"/>
      <c r="Q235" s="48"/>
      <c r="R235" s="48"/>
      <c r="S235" s="48"/>
      <c r="T235" s="48"/>
      <c r="U235" s="48"/>
      <c r="V235" s="48"/>
      <c r="W235" s="48"/>
      <c r="X235" s="48"/>
      <c r="Y235" s="48"/>
      <c r="Z235" s="48"/>
      <c r="AA235" s="48"/>
      <c r="AB235" s="48"/>
      <c r="AC235" s="48"/>
      <c r="AD235" s="48"/>
    </row>
    <row r="236" spans="1:30" ht="15.75" customHeight="1">
      <c r="A236" s="85"/>
      <c r="B236" s="48"/>
      <c r="C236" s="48"/>
      <c r="D236" s="48"/>
      <c r="E236" s="48"/>
      <c r="F236" s="48"/>
      <c r="G236" s="48"/>
      <c r="H236" s="48"/>
      <c r="I236" s="48"/>
      <c r="J236" s="48"/>
      <c r="K236" s="50"/>
      <c r="L236" s="48"/>
      <c r="M236" s="48"/>
      <c r="N236" s="50"/>
      <c r="O236" s="48"/>
      <c r="P236" s="48"/>
      <c r="Q236" s="48"/>
      <c r="R236" s="48"/>
      <c r="S236" s="48"/>
      <c r="T236" s="48"/>
      <c r="U236" s="48"/>
      <c r="V236" s="48"/>
      <c r="W236" s="48"/>
      <c r="X236" s="48"/>
      <c r="Y236" s="48"/>
      <c r="Z236" s="48"/>
      <c r="AA236" s="48"/>
      <c r="AB236" s="48"/>
      <c r="AC236" s="48"/>
      <c r="AD236" s="48"/>
    </row>
    <row r="237" spans="1:30" ht="15.75" customHeight="1">
      <c r="A237" s="85"/>
      <c r="B237" s="48"/>
      <c r="C237" s="48"/>
      <c r="D237" s="48"/>
      <c r="E237" s="48"/>
      <c r="F237" s="48"/>
      <c r="G237" s="48"/>
      <c r="H237" s="48"/>
      <c r="I237" s="48"/>
      <c r="J237" s="48"/>
      <c r="K237" s="50"/>
      <c r="L237" s="48"/>
      <c r="M237" s="48"/>
      <c r="N237" s="50"/>
      <c r="O237" s="48"/>
      <c r="P237" s="48"/>
      <c r="Q237" s="48"/>
      <c r="R237" s="48"/>
      <c r="S237" s="48"/>
      <c r="T237" s="48"/>
      <c r="U237" s="48"/>
      <c r="V237" s="48"/>
      <c r="W237" s="48"/>
      <c r="X237" s="48"/>
      <c r="Y237" s="48"/>
      <c r="Z237" s="48"/>
      <c r="AA237" s="48"/>
      <c r="AB237" s="48"/>
      <c r="AC237" s="48"/>
      <c r="AD237" s="48"/>
    </row>
    <row r="238" spans="1:30" ht="15.75" customHeight="1">
      <c r="A238" s="85"/>
      <c r="B238" s="48"/>
      <c r="C238" s="48"/>
      <c r="D238" s="48"/>
      <c r="E238" s="48"/>
      <c r="F238" s="48"/>
      <c r="G238" s="48"/>
      <c r="H238" s="48"/>
      <c r="I238" s="48"/>
      <c r="J238" s="48"/>
      <c r="K238" s="50"/>
      <c r="L238" s="48"/>
      <c r="M238" s="48"/>
      <c r="N238" s="50"/>
      <c r="O238" s="48"/>
      <c r="P238" s="48"/>
      <c r="Q238" s="48"/>
      <c r="R238" s="48"/>
      <c r="S238" s="48"/>
      <c r="T238" s="48"/>
      <c r="U238" s="48"/>
      <c r="V238" s="48"/>
      <c r="W238" s="48"/>
      <c r="X238" s="48"/>
      <c r="Y238" s="48"/>
      <c r="Z238" s="48"/>
      <c r="AA238" s="48"/>
      <c r="AB238" s="48"/>
      <c r="AC238" s="48"/>
      <c r="AD238" s="48"/>
    </row>
    <row r="239" spans="1:30" ht="15.75" customHeight="1">
      <c r="A239" s="85"/>
      <c r="B239" s="48"/>
      <c r="C239" s="48"/>
      <c r="D239" s="48"/>
      <c r="E239" s="48"/>
      <c r="F239" s="48"/>
      <c r="G239" s="48"/>
      <c r="H239" s="48"/>
      <c r="I239" s="48"/>
      <c r="J239" s="48"/>
      <c r="K239" s="50"/>
      <c r="L239" s="48"/>
      <c r="M239" s="48"/>
      <c r="N239" s="50"/>
      <c r="O239" s="48"/>
      <c r="P239" s="48"/>
      <c r="Q239" s="48"/>
      <c r="R239" s="48"/>
      <c r="S239" s="48"/>
      <c r="T239" s="48"/>
      <c r="U239" s="48"/>
      <c r="V239" s="48"/>
      <c r="W239" s="48"/>
      <c r="X239" s="48"/>
      <c r="Y239" s="48"/>
      <c r="Z239" s="48"/>
      <c r="AA239" s="48"/>
      <c r="AB239" s="48"/>
      <c r="AC239" s="48"/>
      <c r="AD239" s="48"/>
    </row>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35">
    <mergeCell ref="N10:N12"/>
    <mergeCell ref="O10:O12"/>
    <mergeCell ref="P10:P12"/>
    <mergeCell ref="B10:B12"/>
    <mergeCell ref="B16:B18"/>
    <mergeCell ref="E10:E12"/>
    <mergeCell ref="F10:F12"/>
    <mergeCell ref="K10:M10"/>
    <mergeCell ref="K11:M11"/>
    <mergeCell ref="G10:G12"/>
    <mergeCell ref="H10:H12"/>
    <mergeCell ref="I10:I12"/>
    <mergeCell ref="J10:J12"/>
    <mergeCell ref="B32:B33"/>
    <mergeCell ref="C1:D1"/>
    <mergeCell ref="A10:A12"/>
    <mergeCell ref="C10:C12"/>
    <mergeCell ref="D10:D12"/>
    <mergeCell ref="B13:C13"/>
    <mergeCell ref="B46:D46"/>
    <mergeCell ref="B14:P14"/>
    <mergeCell ref="B15:P15"/>
    <mergeCell ref="B21:P21"/>
    <mergeCell ref="B22:P22"/>
    <mergeCell ref="B30:P30"/>
    <mergeCell ref="B36:P36"/>
    <mergeCell ref="B38:P38"/>
    <mergeCell ref="B34:B35"/>
    <mergeCell ref="B41:F41"/>
    <mergeCell ref="B42:F42"/>
    <mergeCell ref="B43:K43"/>
    <mergeCell ref="B44:F44"/>
    <mergeCell ref="B45:D45"/>
    <mergeCell ref="B19:B20"/>
    <mergeCell ref="B23:B29"/>
  </mergeCells>
  <dataValidations count="3">
    <dataValidation type="list" allowBlank="1" sqref="K16:M20 K23:M29 K31:M35 K37:M37 K39:M39" xr:uid="{00000000-0002-0000-0400-000000000000}">
      <formula1>"P,F,PE"</formula1>
    </dataValidation>
    <dataValidation type="list" allowBlank="1" sqref="H16:H20 H23:H29 H31:H35 H37 H39" xr:uid="{00000000-0002-0000-0400-000001000000}">
      <formula1>"NONE,HIGHEST,HIGH,MEDIUM,LOW,LOWEST"</formula1>
    </dataValidation>
    <dataValidation type="list" allowBlank="1" sqref="I16:I20 I23:I29 I31:I35 I37 I39" xr:uid="{00000000-0002-0000-0400-000002000000}">
      <formula1>"CRITICAL,MAJOR,MINOR"</formula1>
    </dataValidation>
  </dataValidations>
  <hyperlinks>
    <hyperlink ref="B13"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13" workbookViewId="0">
      <selection activeCell="D17" sqref="D17"/>
    </sheetView>
  </sheetViews>
  <sheetFormatPr defaultColWidth="12.5703125" defaultRowHeight="15" customHeight="1"/>
  <cols>
    <col min="1" max="1" width="11.5703125" customWidth="1"/>
    <col min="2" max="2" width="12.42578125" customWidth="1"/>
    <col min="3" max="3" width="95" customWidth="1"/>
    <col min="4" max="23" width="14.42578125" customWidth="1"/>
  </cols>
  <sheetData>
    <row r="1" spans="1:26" ht="30.75" customHeight="1">
      <c r="A1" s="166" t="s">
        <v>215</v>
      </c>
      <c r="B1" s="121"/>
      <c r="C1" s="122"/>
      <c r="D1" s="91"/>
      <c r="E1" s="91"/>
      <c r="F1" s="91"/>
      <c r="G1" s="91"/>
      <c r="H1" s="91"/>
      <c r="I1" s="91"/>
      <c r="J1" s="91"/>
      <c r="K1" s="91"/>
      <c r="L1" s="91"/>
      <c r="M1" s="91"/>
      <c r="N1" s="91"/>
      <c r="O1" s="91"/>
      <c r="P1" s="91"/>
      <c r="Q1" s="91"/>
      <c r="R1" s="91"/>
      <c r="S1" s="91"/>
      <c r="T1" s="91"/>
      <c r="U1" s="91"/>
      <c r="V1" s="91"/>
      <c r="W1" s="91"/>
      <c r="X1" s="91"/>
      <c r="Y1" s="91"/>
      <c r="Z1" s="91"/>
    </row>
    <row r="2" spans="1:26" ht="15.75" customHeight="1">
      <c r="A2" s="92" t="s">
        <v>27</v>
      </c>
      <c r="B2" s="167" t="s">
        <v>216</v>
      </c>
      <c r="C2" s="122"/>
      <c r="D2" s="91"/>
      <c r="E2" s="91"/>
      <c r="F2" s="91"/>
      <c r="G2" s="91"/>
      <c r="H2" s="91"/>
      <c r="I2" s="91"/>
      <c r="J2" s="91"/>
      <c r="K2" s="91"/>
      <c r="L2" s="91"/>
      <c r="M2" s="91"/>
      <c r="N2" s="91"/>
      <c r="O2" s="91"/>
      <c r="P2" s="91"/>
      <c r="Q2" s="91"/>
      <c r="R2" s="91"/>
      <c r="S2" s="91"/>
      <c r="T2" s="91"/>
      <c r="U2" s="91"/>
      <c r="V2" s="91"/>
      <c r="W2" s="91"/>
      <c r="X2" s="91"/>
      <c r="Y2" s="91"/>
      <c r="Z2" s="91"/>
    </row>
    <row r="3" spans="1:26" ht="12.75" customHeight="1">
      <c r="A3" s="93">
        <v>1</v>
      </c>
      <c r="B3" s="160" t="s">
        <v>48</v>
      </c>
      <c r="C3" s="122"/>
      <c r="D3" s="91"/>
      <c r="E3" s="91"/>
      <c r="F3" s="91"/>
      <c r="G3" s="91"/>
      <c r="H3" s="91"/>
      <c r="I3" s="91"/>
      <c r="J3" s="91"/>
      <c r="K3" s="91"/>
      <c r="L3" s="91"/>
      <c r="M3" s="91"/>
      <c r="N3" s="91"/>
      <c r="O3" s="91"/>
      <c r="P3" s="91"/>
      <c r="Q3" s="91"/>
      <c r="R3" s="91"/>
      <c r="S3" s="91"/>
      <c r="T3" s="91"/>
      <c r="U3" s="91"/>
      <c r="V3" s="91"/>
      <c r="W3" s="91"/>
      <c r="X3" s="91"/>
      <c r="Y3" s="91"/>
      <c r="Z3" s="91"/>
    </row>
    <row r="4" spans="1:26" ht="12.75" customHeight="1">
      <c r="A4" s="159"/>
      <c r="B4" s="157" t="s">
        <v>217</v>
      </c>
      <c r="C4" s="122"/>
      <c r="D4" s="91"/>
      <c r="E4" s="91"/>
      <c r="F4" s="91"/>
      <c r="G4" s="91"/>
      <c r="H4" s="91"/>
      <c r="I4" s="91"/>
      <c r="J4" s="91"/>
      <c r="K4" s="91"/>
      <c r="L4" s="91"/>
      <c r="M4" s="91"/>
      <c r="N4" s="91"/>
      <c r="O4" s="91"/>
      <c r="P4" s="91"/>
      <c r="Q4" s="91"/>
      <c r="R4" s="91"/>
      <c r="S4" s="91"/>
      <c r="T4" s="91"/>
      <c r="U4" s="91"/>
      <c r="V4" s="91"/>
      <c r="W4" s="91"/>
      <c r="X4" s="91"/>
      <c r="Y4" s="91"/>
      <c r="Z4" s="91"/>
    </row>
    <row r="5" spans="1:26" ht="12.75" customHeight="1">
      <c r="A5" s="141"/>
      <c r="B5" s="157" t="s">
        <v>218</v>
      </c>
      <c r="C5" s="122"/>
      <c r="D5" s="91"/>
      <c r="E5" s="91"/>
      <c r="F5" s="91"/>
      <c r="G5" s="91"/>
      <c r="H5" s="91"/>
      <c r="I5" s="91"/>
      <c r="J5" s="91"/>
      <c r="K5" s="91"/>
      <c r="L5" s="91"/>
      <c r="M5" s="91"/>
      <c r="N5" s="91"/>
      <c r="O5" s="91"/>
      <c r="P5" s="91"/>
      <c r="Q5" s="91"/>
      <c r="R5" s="91"/>
      <c r="S5" s="91"/>
      <c r="T5" s="91"/>
      <c r="U5" s="91"/>
      <c r="V5" s="91"/>
      <c r="W5" s="91"/>
      <c r="X5" s="91"/>
      <c r="Y5" s="91"/>
      <c r="Z5" s="91"/>
    </row>
    <row r="6" spans="1:26" ht="12.75" customHeight="1">
      <c r="A6" s="145"/>
      <c r="B6" s="157" t="s">
        <v>219</v>
      </c>
      <c r="C6" s="122"/>
      <c r="D6" s="91"/>
      <c r="E6" s="91"/>
      <c r="F6" s="91"/>
      <c r="G6" s="91"/>
      <c r="H6" s="91"/>
      <c r="I6" s="91"/>
      <c r="J6" s="91"/>
      <c r="K6" s="91"/>
      <c r="L6" s="91"/>
      <c r="M6" s="91"/>
      <c r="N6" s="91"/>
      <c r="O6" s="91"/>
      <c r="P6" s="91"/>
      <c r="Q6" s="91"/>
      <c r="R6" s="91"/>
      <c r="S6" s="91"/>
      <c r="T6" s="91"/>
      <c r="U6" s="91"/>
      <c r="V6" s="91"/>
      <c r="W6" s="91"/>
      <c r="X6" s="91"/>
      <c r="Y6" s="91"/>
      <c r="Z6" s="91"/>
    </row>
    <row r="7" spans="1:26" ht="12.75" customHeight="1">
      <c r="A7" s="93">
        <v>2</v>
      </c>
      <c r="B7" s="160" t="s">
        <v>49</v>
      </c>
      <c r="C7" s="122"/>
      <c r="D7" s="91"/>
      <c r="E7" s="91"/>
      <c r="F7" s="91"/>
      <c r="G7" s="91"/>
      <c r="H7" s="91"/>
      <c r="I7" s="91"/>
      <c r="J7" s="91"/>
      <c r="K7" s="91"/>
      <c r="L7" s="91"/>
      <c r="M7" s="91"/>
      <c r="N7" s="91"/>
      <c r="O7" s="91"/>
      <c r="P7" s="91"/>
      <c r="Q7" s="91"/>
      <c r="R7" s="91"/>
      <c r="S7" s="91"/>
      <c r="T7" s="91"/>
      <c r="U7" s="91"/>
      <c r="V7" s="91"/>
      <c r="W7" s="91"/>
      <c r="X7" s="91"/>
      <c r="Y7" s="91"/>
      <c r="Z7" s="91"/>
    </row>
    <row r="8" spans="1:26" ht="34.5" customHeight="1">
      <c r="A8" s="94"/>
      <c r="B8" s="156" t="s">
        <v>220</v>
      </c>
      <c r="C8" s="122"/>
      <c r="D8" s="95"/>
      <c r="E8" s="95"/>
      <c r="F8" s="95"/>
      <c r="G8" s="95"/>
      <c r="H8" s="95"/>
      <c r="I8" s="95"/>
      <c r="J8" s="95"/>
      <c r="K8" s="95"/>
      <c r="L8" s="95"/>
      <c r="M8" s="95"/>
      <c r="N8" s="95"/>
      <c r="O8" s="95"/>
      <c r="P8" s="95"/>
      <c r="Q8" s="95"/>
      <c r="R8" s="95"/>
      <c r="S8" s="95"/>
      <c r="T8" s="95"/>
      <c r="U8" s="95"/>
      <c r="V8" s="95"/>
      <c r="W8" s="95"/>
      <c r="X8" s="95"/>
      <c r="Y8" s="95"/>
      <c r="Z8" s="95"/>
    </row>
    <row r="9" spans="1:26" ht="12.75" customHeight="1">
      <c r="A9" s="93">
        <v>3</v>
      </c>
      <c r="B9" s="160" t="s">
        <v>50</v>
      </c>
      <c r="C9" s="122"/>
      <c r="D9" s="91"/>
      <c r="E9" s="91"/>
      <c r="F9" s="91"/>
      <c r="G9" s="91"/>
      <c r="H9" s="91"/>
      <c r="I9" s="91"/>
      <c r="J9" s="91"/>
      <c r="K9" s="91"/>
      <c r="L9" s="91"/>
      <c r="M9" s="91"/>
      <c r="N9" s="91"/>
      <c r="O9" s="91"/>
      <c r="P9" s="91"/>
      <c r="Q9" s="91"/>
      <c r="R9" s="91"/>
      <c r="S9" s="91"/>
      <c r="T9" s="91"/>
      <c r="U9" s="91"/>
      <c r="V9" s="91"/>
      <c r="W9" s="91"/>
      <c r="X9" s="91"/>
      <c r="Y9" s="91"/>
      <c r="Z9" s="91"/>
    </row>
    <row r="10" spans="1:26" ht="39" customHeight="1">
      <c r="A10" s="159"/>
      <c r="B10" s="156" t="s">
        <v>221</v>
      </c>
      <c r="C10" s="122"/>
      <c r="D10" s="91"/>
      <c r="E10" s="91"/>
      <c r="F10" s="91"/>
      <c r="G10" s="91"/>
      <c r="H10" s="91"/>
      <c r="I10" s="91"/>
      <c r="J10" s="91"/>
      <c r="K10" s="91"/>
      <c r="L10" s="91"/>
      <c r="M10" s="91"/>
      <c r="N10" s="91"/>
      <c r="O10" s="91"/>
      <c r="P10" s="91"/>
      <c r="Q10" s="91"/>
      <c r="R10" s="91"/>
      <c r="S10" s="91"/>
      <c r="T10" s="91"/>
      <c r="U10" s="91"/>
      <c r="V10" s="91"/>
      <c r="W10" s="91"/>
      <c r="X10" s="91"/>
      <c r="Y10" s="91"/>
      <c r="Z10" s="91"/>
    </row>
    <row r="11" spans="1:26" ht="12.75" customHeight="1">
      <c r="A11" s="142"/>
      <c r="B11" s="165" t="s">
        <v>222</v>
      </c>
      <c r="C11" s="122"/>
      <c r="D11" s="91"/>
      <c r="E11" s="91"/>
      <c r="F11" s="91"/>
      <c r="G11" s="91"/>
      <c r="H11" s="91"/>
      <c r="I11" s="91"/>
      <c r="J11" s="91"/>
      <c r="K11" s="91"/>
      <c r="L11" s="91"/>
      <c r="M11" s="91"/>
      <c r="N11" s="91"/>
      <c r="O11" s="91"/>
      <c r="P11" s="91"/>
      <c r="Q11" s="91"/>
      <c r="R11" s="91"/>
      <c r="S11" s="91"/>
      <c r="T11" s="91"/>
      <c r="U11" s="91"/>
      <c r="V11" s="91"/>
      <c r="W11" s="91"/>
      <c r="X11" s="91"/>
      <c r="Y11" s="91"/>
      <c r="Z11" s="91"/>
    </row>
    <row r="12" spans="1:26" ht="12.75" customHeight="1">
      <c r="A12" s="93">
        <v>4</v>
      </c>
      <c r="B12" s="160" t="s">
        <v>51</v>
      </c>
      <c r="C12" s="122"/>
      <c r="D12" s="91"/>
      <c r="E12" s="91"/>
      <c r="F12" s="91"/>
      <c r="G12" s="91"/>
      <c r="H12" s="91"/>
      <c r="I12" s="91"/>
      <c r="J12" s="91"/>
      <c r="K12" s="91"/>
      <c r="L12" s="91"/>
      <c r="M12" s="91"/>
      <c r="N12" s="91"/>
      <c r="O12" s="91"/>
      <c r="P12" s="91"/>
      <c r="Q12" s="91"/>
      <c r="R12" s="91"/>
      <c r="S12" s="91"/>
      <c r="T12" s="91"/>
      <c r="U12" s="91"/>
      <c r="V12" s="91"/>
      <c r="W12" s="91"/>
      <c r="X12" s="91"/>
      <c r="Y12" s="91"/>
      <c r="Z12" s="91"/>
    </row>
    <row r="13" spans="1:26" ht="12.75" customHeight="1">
      <c r="A13" s="96"/>
      <c r="B13" s="156" t="s">
        <v>223</v>
      </c>
      <c r="C13" s="122"/>
      <c r="D13" s="91"/>
      <c r="E13" s="91"/>
      <c r="F13" s="91"/>
      <c r="G13" s="91"/>
      <c r="H13" s="91"/>
      <c r="I13" s="91"/>
      <c r="J13" s="91"/>
      <c r="K13" s="91"/>
      <c r="L13" s="91"/>
      <c r="M13" s="91"/>
      <c r="N13" s="91"/>
      <c r="O13" s="91"/>
      <c r="P13" s="91"/>
      <c r="Q13" s="91"/>
      <c r="R13" s="91"/>
      <c r="S13" s="91"/>
      <c r="T13" s="91"/>
      <c r="U13" s="91"/>
      <c r="V13" s="91"/>
      <c r="W13" s="91"/>
      <c r="X13" s="91"/>
      <c r="Y13" s="91"/>
      <c r="Z13" s="91"/>
    </row>
    <row r="14" spans="1:26" ht="12.75" customHeight="1">
      <c r="A14" s="97">
        <v>5</v>
      </c>
      <c r="B14" s="163" t="s">
        <v>53</v>
      </c>
      <c r="C14" s="122"/>
      <c r="D14" s="91"/>
      <c r="E14" s="91"/>
      <c r="F14" s="91"/>
      <c r="G14" s="91"/>
      <c r="H14" s="91"/>
      <c r="I14" s="91"/>
      <c r="J14" s="91"/>
      <c r="K14" s="91"/>
      <c r="L14" s="91"/>
      <c r="M14" s="91"/>
      <c r="N14" s="91"/>
      <c r="O14" s="91"/>
      <c r="P14" s="91"/>
      <c r="Q14" s="91"/>
      <c r="R14" s="91"/>
      <c r="S14" s="91"/>
      <c r="T14" s="91"/>
      <c r="U14" s="91"/>
      <c r="V14" s="91"/>
      <c r="W14" s="91"/>
      <c r="X14" s="91"/>
      <c r="Y14" s="91"/>
      <c r="Z14" s="91"/>
    </row>
    <row r="15" spans="1:26" ht="12.75" customHeight="1">
      <c r="A15" s="159"/>
      <c r="B15" s="165" t="s">
        <v>224</v>
      </c>
      <c r="C15" s="122"/>
      <c r="D15" s="91"/>
      <c r="E15" s="91"/>
      <c r="F15" s="91"/>
      <c r="G15" s="91"/>
      <c r="H15" s="91"/>
      <c r="I15" s="91"/>
      <c r="J15" s="91"/>
      <c r="K15" s="91"/>
      <c r="L15" s="91"/>
      <c r="M15" s="91"/>
      <c r="N15" s="91"/>
      <c r="O15" s="91"/>
      <c r="P15" s="91"/>
      <c r="Q15" s="91"/>
      <c r="R15" s="91"/>
      <c r="S15" s="91"/>
      <c r="T15" s="91"/>
      <c r="U15" s="91"/>
      <c r="V15" s="91"/>
      <c r="W15" s="91"/>
      <c r="X15" s="91"/>
      <c r="Y15" s="91"/>
      <c r="Z15" s="91"/>
    </row>
    <row r="16" spans="1:26" ht="12.75" customHeight="1">
      <c r="A16" s="141"/>
      <c r="B16" s="165" t="s">
        <v>225</v>
      </c>
      <c r="C16" s="122"/>
      <c r="D16" s="91"/>
      <c r="E16" s="91"/>
      <c r="F16" s="91"/>
      <c r="G16" s="91"/>
      <c r="H16" s="91"/>
      <c r="I16" s="91"/>
      <c r="J16" s="91"/>
      <c r="K16" s="91"/>
      <c r="L16" s="91"/>
      <c r="M16" s="91"/>
      <c r="N16" s="91"/>
      <c r="O16" s="91"/>
      <c r="P16" s="91"/>
      <c r="Q16" s="91"/>
      <c r="R16" s="91"/>
      <c r="S16" s="91"/>
      <c r="T16" s="91"/>
      <c r="U16" s="91"/>
      <c r="V16" s="91"/>
      <c r="W16" s="91"/>
      <c r="X16" s="91"/>
      <c r="Y16" s="91"/>
      <c r="Z16" s="91"/>
    </row>
    <row r="17" spans="1:26" ht="12.75" customHeight="1">
      <c r="A17" s="97">
        <v>6</v>
      </c>
      <c r="B17" s="163" t="s">
        <v>54</v>
      </c>
      <c r="C17" s="122"/>
      <c r="D17" s="91"/>
      <c r="E17" s="91"/>
      <c r="F17" s="91"/>
      <c r="G17" s="91"/>
      <c r="H17" s="91"/>
      <c r="I17" s="91"/>
      <c r="J17" s="91"/>
      <c r="K17" s="91"/>
      <c r="L17" s="91"/>
      <c r="M17" s="91"/>
      <c r="N17" s="91"/>
      <c r="O17" s="91"/>
      <c r="P17" s="91"/>
      <c r="Q17" s="91"/>
      <c r="R17" s="91"/>
      <c r="S17" s="91"/>
      <c r="T17" s="91"/>
      <c r="U17" s="91"/>
      <c r="V17" s="91"/>
      <c r="W17" s="91"/>
      <c r="X17" s="91"/>
      <c r="Y17" s="91"/>
      <c r="Z17" s="91"/>
    </row>
    <row r="18" spans="1:26" ht="43.5" customHeight="1">
      <c r="A18" s="98"/>
      <c r="B18" s="164" t="s">
        <v>226</v>
      </c>
      <c r="C18" s="122"/>
      <c r="D18" s="91"/>
      <c r="E18" s="91"/>
      <c r="F18" s="91"/>
      <c r="G18" s="91"/>
      <c r="H18" s="91"/>
      <c r="I18" s="91"/>
      <c r="J18" s="91"/>
      <c r="K18" s="91"/>
      <c r="L18" s="91"/>
      <c r="M18" s="91"/>
      <c r="N18" s="91"/>
      <c r="O18" s="91"/>
      <c r="P18" s="91"/>
      <c r="Q18" s="91"/>
      <c r="R18" s="91"/>
      <c r="S18" s="91"/>
      <c r="T18" s="91"/>
      <c r="U18" s="91"/>
      <c r="V18" s="91"/>
      <c r="W18" s="91"/>
      <c r="X18" s="91"/>
      <c r="Y18" s="91"/>
      <c r="Z18" s="91"/>
    </row>
    <row r="19" spans="1:26" ht="12.75" customHeight="1">
      <c r="A19" s="97">
        <v>7</v>
      </c>
      <c r="B19" s="163" t="s">
        <v>227</v>
      </c>
      <c r="C19" s="122"/>
      <c r="D19" s="91"/>
      <c r="E19" s="91"/>
      <c r="F19" s="91"/>
      <c r="G19" s="91"/>
      <c r="H19" s="91"/>
      <c r="I19" s="91"/>
      <c r="J19" s="91"/>
      <c r="K19" s="91"/>
      <c r="L19" s="91"/>
      <c r="M19" s="91"/>
      <c r="N19" s="91"/>
      <c r="O19" s="91"/>
      <c r="P19" s="91"/>
      <c r="Q19" s="91"/>
      <c r="R19" s="91"/>
      <c r="S19" s="91"/>
      <c r="T19" s="91"/>
      <c r="U19" s="91"/>
      <c r="V19" s="91"/>
      <c r="W19" s="91"/>
      <c r="X19" s="91"/>
      <c r="Y19" s="91"/>
      <c r="Z19" s="91"/>
    </row>
    <row r="20" spans="1:26" ht="43.5" customHeight="1">
      <c r="A20" s="98"/>
      <c r="B20" s="164" t="s">
        <v>228</v>
      </c>
      <c r="C20" s="122"/>
      <c r="D20" s="91"/>
      <c r="E20" s="91"/>
      <c r="F20" s="91"/>
      <c r="G20" s="91"/>
      <c r="H20" s="91"/>
      <c r="I20" s="91"/>
      <c r="J20" s="91"/>
      <c r="K20" s="91"/>
      <c r="L20" s="91"/>
      <c r="M20" s="91"/>
      <c r="N20" s="91"/>
      <c r="O20" s="91"/>
      <c r="P20" s="91"/>
      <c r="Q20" s="91"/>
      <c r="R20" s="91"/>
      <c r="S20" s="91"/>
      <c r="T20" s="91"/>
      <c r="U20" s="91"/>
      <c r="V20" s="91"/>
      <c r="W20" s="91"/>
      <c r="X20" s="91"/>
      <c r="Y20" s="91"/>
      <c r="Z20" s="91"/>
    </row>
    <row r="21" spans="1:26" ht="12.75" customHeight="1">
      <c r="A21" s="93">
        <v>8</v>
      </c>
      <c r="B21" s="160" t="s">
        <v>229</v>
      </c>
      <c r="C21" s="122"/>
      <c r="D21" s="91"/>
      <c r="E21" s="91"/>
      <c r="F21" s="91"/>
      <c r="G21" s="91"/>
      <c r="H21" s="91"/>
      <c r="I21" s="91"/>
      <c r="J21" s="91"/>
      <c r="K21" s="91"/>
      <c r="L21" s="91"/>
      <c r="M21" s="91"/>
      <c r="N21" s="91"/>
      <c r="O21" s="91"/>
      <c r="P21" s="91"/>
      <c r="Q21" s="91"/>
      <c r="R21" s="91"/>
      <c r="S21" s="91"/>
      <c r="T21" s="91"/>
      <c r="U21" s="91"/>
      <c r="V21" s="91"/>
      <c r="W21" s="91"/>
      <c r="X21" s="91"/>
      <c r="Y21" s="91"/>
      <c r="Z21" s="91"/>
    </row>
    <row r="22" spans="1:26" ht="12.75" customHeight="1">
      <c r="A22" s="159"/>
      <c r="B22" s="61" t="s">
        <v>230</v>
      </c>
      <c r="C22" s="98" t="s">
        <v>231</v>
      </c>
      <c r="D22" s="91"/>
      <c r="E22" s="91"/>
      <c r="F22" s="91"/>
      <c r="G22" s="91"/>
      <c r="H22" s="91"/>
      <c r="I22" s="91"/>
      <c r="J22" s="91"/>
      <c r="K22" s="91"/>
      <c r="L22" s="91"/>
      <c r="M22" s="91"/>
      <c r="N22" s="91"/>
      <c r="O22" s="91"/>
      <c r="P22" s="91"/>
      <c r="Q22" s="91"/>
      <c r="R22" s="91"/>
      <c r="S22" s="91"/>
      <c r="T22" s="91"/>
      <c r="U22" s="91"/>
      <c r="V22" s="91"/>
      <c r="W22" s="91"/>
      <c r="X22" s="91"/>
      <c r="Y22" s="91"/>
      <c r="Z22" s="91"/>
    </row>
    <row r="23" spans="1:26" ht="12.75" customHeight="1">
      <c r="A23" s="141"/>
      <c r="B23" s="61" t="s">
        <v>232</v>
      </c>
      <c r="C23" s="98" t="s">
        <v>233</v>
      </c>
      <c r="D23" s="91"/>
      <c r="E23" s="91"/>
      <c r="F23" s="91"/>
      <c r="G23" s="91"/>
      <c r="H23" s="91"/>
      <c r="I23" s="91"/>
      <c r="J23" s="91"/>
      <c r="K23" s="91"/>
      <c r="L23" s="91"/>
      <c r="M23" s="91"/>
      <c r="N23" s="91"/>
      <c r="O23" s="91"/>
      <c r="P23" s="91"/>
      <c r="Q23" s="91"/>
      <c r="R23" s="91"/>
      <c r="S23" s="91"/>
      <c r="T23" s="91"/>
      <c r="U23" s="91"/>
      <c r="V23" s="91"/>
      <c r="W23" s="91"/>
      <c r="X23" s="91"/>
      <c r="Y23" s="91"/>
      <c r="Z23" s="91"/>
    </row>
    <row r="24" spans="1:26" ht="12.75" customHeight="1">
      <c r="A24" s="142"/>
      <c r="B24" s="61" t="s">
        <v>234</v>
      </c>
      <c r="C24" s="99" t="s">
        <v>235</v>
      </c>
      <c r="D24" s="91"/>
      <c r="E24" s="91"/>
      <c r="F24" s="91"/>
      <c r="G24" s="91"/>
      <c r="H24" s="91"/>
      <c r="I24" s="91"/>
      <c r="J24" s="91"/>
      <c r="K24" s="91"/>
      <c r="L24" s="91"/>
      <c r="M24" s="91"/>
      <c r="N24" s="91"/>
      <c r="O24" s="91"/>
      <c r="P24" s="91"/>
      <c r="Q24" s="91"/>
      <c r="R24" s="91"/>
      <c r="S24" s="91"/>
      <c r="T24" s="91"/>
      <c r="U24" s="91"/>
      <c r="V24" s="91"/>
      <c r="W24" s="91"/>
      <c r="X24" s="91"/>
      <c r="Y24" s="91"/>
      <c r="Z24" s="91"/>
    </row>
    <row r="25" spans="1:26" ht="12.75" customHeight="1">
      <c r="A25" s="93">
        <v>9</v>
      </c>
      <c r="B25" s="160" t="s">
        <v>60</v>
      </c>
      <c r="C25" s="122"/>
      <c r="D25" s="91"/>
      <c r="E25" s="91"/>
      <c r="F25" s="91"/>
      <c r="G25" s="91"/>
      <c r="H25" s="91"/>
      <c r="I25" s="91"/>
      <c r="J25" s="91"/>
      <c r="K25" s="91"/>
      <c r="L25" s="91"/>
      <c r="M25" s="91"/>
      <c r="N25" s="91"/>
      <c r="O25" s="91"/>
      <c r="P25" s="91"/>
      <c r="Q25" s="91"/>
      <c r="R25" s="91"/>
      <c r="S25" s="91"/>
      <c r="T25" s="91"/>
      <c r="U25" s="91"/>
      <c r="V25" s="91"/>
      <c r="W25" s="91"/>
      <c r="X25" s="91"/>
      <c r="Y25" s="91"/>
      <c r="Z25" s="91"/>
    </row>
    <row r="26" spans="1:26" ht="39" customHeight="1">
      <c r="A26" s="96"/>
      <c r="B26" s="161" t="s">
        <v>236</v>
      </c>
      <c r="C26" s="122"/>
      <c r="D26" s="91"/>
      <c r="E26" s="91"/>
      <c r="F26" s="91"/>
      <c r="G26" s="91"/>
      <c r="H26" s="91"/>
      <c r="I26" s="91"/>
      <c r="J26" s="91"/>
      <c r="K26" s="91"/>
      <c r="L26" s="91"/>
      <c r="M26" s="91"/>
      <c r="N26" s="91"/>
      <c r="O26" s="91"/>
      <c r="P26" s="91"/>
      <c r="Q26" s="91"/>
      <c r="R26" s="91"/>
      <c r="S26" s="91"/>
      <c r="T26" s="91"/>
      <c r="U26" s="91"/>
      <c r="V26" s="91"/>
      <c r="W26" s="91"/>
      <c r="X26" s="91"/>
      <c r="Y26" s="91"/>
      <c r="Z26" s="91"/>
    </row>
    <row r="27" spans="1:26" ht="12.75" customHeight="1">
      <c r="A27" s="100">
        <v>10</v>
      </c>
      <c r="B27" s="162" t="s">
        <v>61</v>
      </c>
      <c r="C27" s="122"/>
      <c r="D27" s="91"/>
      <c r="E27" s="91"/>
      <c r="F27" s="91"/>
      <c r="G27" s="91"/>
      <c r="H27" s="91"/>
      <c r="I27" s="91"/>
      <c r="J27" s="91"/>
      <c r="K27" s="91"/>
      <c r="L27" s="91"/>
      <c r="M27" s="91"/>
      <c r="N27" s="91"/>
      <c r="O27" s="91"/>
      <c r="P27" s="91"/>
      <c r="Q27" s="91"/>
      <c r="R27" s="91"/>
      <c r="S27" s="91"/>
      <c r="T27" s="91"/>
      <c r="U27" s="91"/>
      <c r="V27" s="91"/>
      <c r="W27" s="91"/>
      <c r="X27" s="91"/>
      <c r="Y27" s="91"/>
      <c r="Z27" s="91"/>
    </row>
    <row r="28" spans="1:26" ht="29.25" customHeight="1">
      <c r="A28" s="98"/>
      <c r="B28" s="157" t="s">
        <v>237</v>
      </c>
      <c r="C28" s="122"/>
      <c r="D28" s="91"/>
      <c r="E28" s="91"/>
      <c r="F28" s="91"/>
      <c r="G28" s="91"/>
      <c r="H28" s="91"/>
      <c r="I28" s="91"/>
      <c r="J28" s="91"/>
      <c r="K28" s="91"/>
      <c r="L28" s="91"/>
      <c r="M28" s="91"/>
      <c r="N28" s="91"/>
      <c r="O28" s="91"/>
      <c r="P28" s="91"/>
      <c r="Q28" s="91"/>
      <c r="R28" s="91"/>
      <c r="S28" s="91"/>
      <c r="T28" s="91"/>
      <c r="U28" s="91"/>
      <c r="V28" s="91"/>
      <c r="W28" s="91"/>
      <c r="X28" s="91"/>
      <c r="Y28" s="91"/>
      <c r="Z28" s="91"/>
    </row>
    <row r="29" spans="1:26" ht="12.75" customHeight="1">
      <c r="A29" s="101">
        <v>11</v>
      </c>
      <c r="B29" s="158" t="s">
        <v>238</v>
      </c>
      <c r="C29" s="122"/>
      <c r="D29" s="91"/>
      <c r="E29" s="91"/>
      <c r="F29" s="91"/>
      <c r="G29" s="91"/>
      <c r="H29" s="91"/>
      <c r="I29" s="91"/>
      <c r="J29" s="91"/>
      <c r="K29" s="91"/>
      <c r="L29" s="91"/>
      <c r="M29" s="91"/>
      <c r="N29" s="91"/>
      <c r="O29" s="91"/>
      <c r="P29" s="91"/>
      <c r="Q29" s="91"/>
      <c r="R29" s="91"/>
      <c r="S29" s="91"/>
      <c r="T29" s="91"/>
      <c r="U29" s="91"/>
      <c r="V29" s="91"/>
      <c r="W29" s="91"/>
      <c r="X29" s="91"/>
      <c r="Y29" s="91"/>
      <c r="Z29" s="91"/>
    </row>
    <row r="30" spans="1:26" ht="34.5" customHeight="1">
      <c r="A30" s="99"/>
      <c r="B30" s="156" t="s">
        <v>239</v>
      </c>
      <c r="C30" s="122"/>
      <c r="D30" s="91"/>
      <c r="E30" s="91"/>
      <c r="F30" s="91"/>
      <c r="G30" s="91"/>
      <c r="H30" s="91"/>
      <c r="I30" s="91"/>
      <c r="J30" s="91"/>
      <c r="K30" s="91"/>
      <c r="L30" s="91"/>
      <c r="M30" s="91"/>
      <c r="N30" s="91"/>
      <c r="O30" s="91"/>
      <c r="P30" s="91"/>
      <c r="Q30" s="91"/>
      <c r="R30" s="91"/>
      <c r="S30" s="91"/>
      <c r="T30" s="91"/>
      <c r="U30" s="91"/>
      <c r="V30" s="91"/>
      <c r="W30" s="91"/>
      <c r="X30" s="91"/>
      <c r="Y30" s="91"/>
      <c r="Z30" s="91"/>
    </row>
    <row r="31" spans="1:26" ht="12.75" customHeight="1">
      <c r="A31" s="101">
        <v>12</v>
      </c>
      <c r="B31" s="158" t="s">
        <v>240</v>
      </c>
      <c r="C31" s="122"/>
      <c r="D31" s="91"/>
      <c r="E31" s="91"/>
      <c r="F31" s="91"/>
      <c r="G31" s="91"/>
      <c r="H31" s="91"/>
      <c r="I31" s="91"/>
      <c r="J31" s="91"/>
      <c r="K31" s="91"/>
      <c r="L31" s="91"/>
      <c r="M31" s="91"/>
      <c r="N31" s="91"/>
      <c r="O31" s="91"/>
      <c r="P31" s="91"/>
      <c r="Q31" s="91"/>
      <c r="R31" s="91"/>
      <c r="S31" s="91"/>
      <c r="T31" s="91"/>
      <c r="U31" s="91"/>
      <c r="V31" s="91"/>
      <c r="W31" s="91"/>
      <c r="X31" s="91"/>
      <c r="Y31" s="91"/>
      <c r="Z31" s="91"/>
    </row>
    <row r="32" spans="1:26" ht="75" customHeight="1">
      <c r="A32" s="99"/>
      <c r="B32" s="156" t="s">
        <v>241</v>
      </c>
      <c r="C32" s="122"/>
      <c r="D32" s="91"/>
      <c r="E32" s="91"/>
      <c r="F32" s="91"/>
      <c r="G32" s="91"/>
      <c r="H32" s="91"/>
      <c r="I32" s="91"/>
      <c r="J32" s="91"/>
      <c r="K32" s="91"/>
      <c r="L32" s="91"/>
      <c r="M32" s="91"/>
      <c r="N32" s="91"/>
      <c r="O32" s="91"/>
      <c r="P32" s="91"/>
      <c r="Q32" s="91"/>
      <c r="R32" s="91"/>
      <c r="S32" s="91"/>
      <c r="T32" s="91"/>
      <c r="U32" s="91"/>
      <c r="V32" s="91"/>
      <c r="W32" s="91"/>
      <c r="X32" s="91"/>
      <c r="Y32" s="91"/>
      <c r="Z32" s="91"/>
    </row>
    <row r="33" spans="1:26" ht="12.75" customHeight="1">
      <c r="A33" s="101">
        <v>13</v>
      </c>
      <c r="B33" s="158" t="s">
        <v>242</v>
      </c>
      <c r="C33" s="122"/>
      <c r="D33" s="91"/>
      <c r="E33" s="91"/>
      <c r="F33" s="91"/>
      <c r="G33" s="91"/>
      <c r="H33" s="91"/>
      <c r="I33" s="91"/>
      <c r="J33" s="91"/>
      <c r="K33" s="91"/>
      <c r="L33" s="91"/>
      <c r="M33" s="91"/>
      <c r="N33" s="91"/>
      <c r="O33" s="91"/>
      <c r="P33" s="91"/>
      <c r="Q33" s="91"/>
      <c r="R33" s="91"/>
      <c r="S33" s="91"/>
      <c r="T33" s="91"/>
      <c r="U33" s="91"/>
      <c r="V33" s="91"/>
      <c r="W33" s="91"/>
      <c r="X33" s="91"/>
      <c r="Y33" s="91"/>
      <c r="Z33" s="91"/>
    </row>
    <row r="34" spans="1:26" ht="35.25" customHeight="1">
      <c r="A34" s="99"/>
      <c r="B34" s="156" t="s">
        <v>243</v>
      </c>
      <c r="C34" s="122"/>
      <c r="D34" s="91"/>
      <c r="E34" s="91"/>
      <c r="F34" s="91"/>
      <c r="G34" s="91"/>
      <c r="H34" s="91"/>
      <c r="I34" s="91"/>
      <c r="J34" s="91"/>
      <c r="K34" s="91"/>
      <c r="L34" s="91"/>
      <c r="M34" s="91"/>
      <c r="N34" s="91"/>
      <c r="O34" s="91"/>
      <c r="P34" s="91"/>
      <c r="Q34" s="91"/>
      <c r="R34" s="91"/>
      <c r="S34" s="91"/>
      <c r="T34" s="91"/>
      <c r="U34" s="91"/>
      <c r="V34" s="91"/>
      <c r="W34" s="91"/>
      <c r="X34" s="91"/>
      <c r="Y34" s="91"/>
      <c r="Z34" s="91"/>
    </row>
    <row r="35" spans="1:26" ht="35.25" customHeight="1">
      <c r="A35" s="99"/>
      <c r="B35" s="156" t="s">
        <v>244</v>
      </c>
      <c r="C35" s="122"/>
      <c r="D35" s="91"/>
      <c r="E35" s="91"/>
      <c r="F35" s="91"/>
      <c r="G35" s="91"/>
      <c r="H35" s="91"/>
      <c r="I35" s="91"/>
      <c r="J35" s="91"/>
      <c r="K35" s="91"/>
      <c r="L35" s="91"/>
      <c r="M35" s="91"/>
      <c r="N35" s="91"/>
      <c r="O35" s="91"/>
      <c r="P35" s="91"/>
      <c r="Q35" s="91"/>
      <c r="R35" s="91"/>
      <c r="S35" s="91"/>
      <c r="T35" s="91"/>
      <c r="U35" s="91"/>
      <c r="V35" s="91"/>
      <c r="W35" s="91"/>
      <c r="X35" s="91"/>
      <c r="Y35" s="91"/>
      <c r="Z35" s="91"/>
    </row>
    <row r="36" spans="1:26" ht="35.25" customHeight="1">
      <c r="A36" s="99"/>
      <c r="B36" s="156" t="s">
        <v>245</v>
      </c>
      <c r="C36" s="122"/>
      <c r="D36" s="91"/>
      <c r="E36" s="91"/>
      <c r="F36" s="91"/>
      <c r="G36" s="91"/>
      <c r="H36" s="91"/>
      <c r="I36" s="91"/>
      <c r="J36" s="91"/>
      <c r="K36" s="91"/>
      <c r="L36" s="91"/>
      <c r="M36" s="91"/>
      <c r="N36" s="91"/>
      <c r="O36" s="91"/>
      <c r="P36" s="91"/>
      <c r="Q36" s="91"/>
      <c r="R36" s="91"/>
      <c r="S36" s="91"/>
      <c r="T36" s="91"/>
      <c r="U36" s="91"/>
      <c r="V36" s="91"/>
      <c r="W36" s="91"/>
      <c r="X36" s="91"/>
      <c r="Y36" s="91"/>
      <c r="Z36" s="91"/>
    </row>
    <row r="37" spans="1:26" ht="12.7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2.7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2.7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2.7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2.7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2.7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2.7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2.7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2.7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2.7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2.7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2.7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2.7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2.7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2.7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2.7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2.7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2.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2.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2.7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2.7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2.7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2.7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2.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2.7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2.7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2.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2.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2.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2.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2.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2.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2.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2.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2.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2.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2.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2.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2.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2.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2.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2.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2.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2.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2.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2.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2.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2.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2.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2.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2.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2.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2.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2.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2.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2.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2.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2.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2.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2.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2.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2.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2.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2.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2.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2.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2.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2.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2.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2.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2.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2.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2.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2.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2.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2.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2.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2.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2.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2.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2.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2.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2.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2.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2.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2.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2.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2.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2.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2.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2.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2.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2.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2.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2.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2.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2.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2.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2.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C1"/>
    <mergeCell ref="B2:C2"/>
    <mergeCell ref="B3:C3"/>
    <mergeCell ref="A4:A6"/>
    <mergeCell ref="B4:C4"/>
    <mergeCell ref="B5:C5"/>
    <mergeCell ref="B6:C6"/>
    <mergeCell ref="B7:C7"/>
    <mergeCell ref="B8:C8"/>
    <mergeCell ref="B9:C9"/>
    <mergeCell ref="A10:A11"/>
    <mergeCell ref="B10:C10"/>
    <mergeCell ref="B11:C11"/>
    <mergeCell ref="B12:C12"/>
    <mergeCell ref="B13:C13"/>
    <mergeCell ref="B14:C14"/>
    <mergeCell ref="A15:A16"/>
    <mergeCell ref="B15:C15"/>
    <mergeCell ref="B16:C16"/>
    <mergeCell ref="B17:C17"/>
    <mergeCell ref="B18:C18"/>
    <mergeCell ref="B19:C19"/>
    <mergeCell ref="B20:C20"/>
    <mergeCell ref="B21:C21"/>
    <mergeCell ref="A22:A24"/>
    <mergeCell ref="B25:C25"/>
    <mergeCell ref="B26:C26"/>
    <mergeCell ref="B27:C27"/>
    <mergeCell ref="B35:C35"/>
    <mergeCell ref="B36:C36"/>
    <mergeCell ref="B28:C28"/>
    <mergeCell ref="B29:C29"/>
    <mergeCell ref="B30:C30"/>
    <mergeCell ref="B31:C31"/>
    <mergeCell ref="B32:C32"/>
    <mergeCell ref="B33:C33"/>
    <mergeCell ref="B34:C34"/>
  </mergeCells>
  <conditionalFormatting sqref="B22:B24">
    <cfRule type="containsText" dxfId="3" priority="1" operator="containsText" text="Passed">
      <formula>NOT(ISERROR(SEARCH(("Passed"),(B22))))</formula>
    </cfRule>
  </conditionalFormatting>
  <conditionalFormatting sqref="B22:B24">
    <cfRule type="containsText" dxfId="2" priority="2" operator="containsText" text="Failed">
      <formula>NOT(ISERROR(SEARCH(("Failed"),(B22))))</formula>
    </cfRule>
  </conditionalFormatting>
  <conditionalFormatting sqref="B22:B24">
    <cfRule type="containsText" dxfId="1" priority="3" operator="containsText" text="Pending">
      <formula>NOT(ISERROR(SEARCH(("Pending"),(B22))))</formula>
    </cfRule>
  </conditionalFormatting>
  <conditionalFormatting sqref="B22:B24">
    <cfRule type="containsText" dxfId="0" priority="4" operator="containsText" text="Not executed">
      <formula>NOT(ISERROR(SEARCH(("Not executed"),(B22))))</formula>
    </cfRule>
  </conditionalFormatting>
  <dataValidations count="1">
    <dataValidation type="list" allowBlank="1" sqref="B22:B24" xr:uid="{00000000-0002-0000-0700-000000000000}">
      <formula1>"Passed,Failed,Pending,Not executed"</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15"/>
  <sheetViews>
    <sheetView tabSelected="1" workbookViewId="0"/>
  </sheetViews>
  <sheetFormatPr defaultRowHeight="14.25"/>
  <cols>
    <col min="2" max="2" width="57.140625" customWidth="1"/>
    <col min="3" max="3" width="44.7109375" customWidth="1"/>
    <col min="4" max="4" width="44.85546875" customWidth="1"/>
    <col min="5" max="5" width="32.85546875" customWidth="1"/>
    <col min="6" max="6" width="41.85546875" customWidth="1"/>
    <col min="7" max="7" width="25.5703125" customWidth="1"/>
    <col min="8" max="8" width="13.5703125" customWidth="1"/>
    <col min="9" max="9" width="11.85546875" customWidth="1"/>
  </cols>
  <sheetData>
    <row r="1" spans="1:30" ht="26.25">
      <c r="A1" s="48"/>
      <c r="B1" s="48"/>
      <c r="C1" s="112" t="s">
        <v>38</v>
      </c>
      <c r="D1" s="104"/>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246</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247</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COUNTIF($N$13:$N$999,"P")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COUNTIF($N$13:$N$999,"F")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COUNTIF($N$13:$N$999,"PE")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85</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COUNTA($G$13:$G$999)</f>
        <v>85</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63">
      <c r="A10" s="109" t="s">
        <v>48</v>
      </c>
      <c r="B10" s="109" t="s">
        <v>49</v>
      </c>
      <c r="C10" s="109" t="s">
        <v>50</v>
      </c>
      <c r="D10" s="109" t="s">
        <v>51</v>
      </c>
      <c r="E10" s="109" t="s">
        <v>52</v>
      </c>
      <c r="F10" s="109" t="s">
        <v>53</v>
      </c>
      <c r="G10" s="109" t="s">
        <v>54</v>
      </c>
      <c r="H10" s="109" t="s">
        <v>55</v>
      </c>
      <c r="I10" s="109" t="s">
        <v>56</v>
      </c>
      <c r="J10" s="109" t="s">
        <v>57</v>
      </c>
      <c r="K10" s="105" t="s">
        <v>58</v>
      </c>
      <c r="L10" s="102" t="s">
        <v>58</v>
      </c>
      <c r="M10" s="103" t="s">
        <v>58</v>
      </c>
      <c r="N10" s="109" t="s">
        <v>59</v>
      </c>
      <c r="O10" s="109" t="s">
        <v>60</v>
      </c>
      <c r="P10" s="109" t="s">
        <v>61</v>
      </c>
      <c r="Q10" s="48"/>
      <c r="R10" s="48"/>
      <c r="S10" s="48"/>
      <c r="T10" s="48"/>
      <c r="U10" s="48"/>
      <c r="V10" s="48"/>
      <c r="W10" s="48"/>
      <c r="X10" s="48"/>
      <c r="Y10" s="48"/>
      <c r="Z10" s="48"/>
      <c r="AA10" s="48"/>
      <c r="AB10" s="48"/>
      <c r="AC10" s="48"/>
      <c r="AD10" s="48"/>
    </row>
    <row r="11" spans="1:30" ht="15.75">
      <c r="A11" s="110" t="s">
        <v>48</v>
      </c>
      <c r="B11" s="110" t="s">
        <v>49</v>
      </c>
      <c r="C11" s="110" t="s">
        <v>50</v>
      </c>
      <c r="D11" s="110" t="s">
        <v>51</v>
      </c>
      <c r="E11" s="110" t="s">
        <v>52</v>
      </c>
      <c r="F11" s="110" t="s">
        <v>53</v>
      </c>
      <c r="G11" s="110" t="s">
        <v>54</v>
      </c>
      <c r="H11" s="110" t="s">
        <v>55</v>
      </c>
      <c r="I11" s="110" t="s">
        <v>56</v>
      </c>
      <c r="J11" s="110" t="s">
        <v>57</v>
      </c>
      <c r="K11" s="106" t="s">
        <v>62</v>
      </c>
      <c r="L11" s="107" t="s">
        <v>62</v>
      </c>
      <c r="M11" s="108" t="s">
        <v>62</v>
      </c>
      <c r="N11" s="110" t="s">
        <v>59</v>
      </c>
      <c r="O11" s="110" t="s">
        <v>60</v>
      </c>
      <c r="P11" s="110" t="s">
        <v>61</v>
      </c>
      <c r="Q11" s="48"/>
      <c r="R11" s="48"/>
      <c r="S11" s="48"/>
      <c r="T11" s="48"/>
      <c r="U11" s="48"/>
      <c r="V11" s="48"/>
      <c r="W11" s="48"/>
      <c r="X11" s="48"/>
      <c r="Y11" s="48"/>
      <c r="Z11" s="48"/>
      <c r="AA11" s="48"/>
      <c r="AB11" s="48"/>
      <c r="AC11" s="48"/>
      <c r="AD11" s="48"/>
    </row>
    <row r="12" spans="1:30" ht="15.75">
      <c r="A12" s="111" t="s">
        <v>48</v>
      </c>
      <c r="B12" s="111" t="s">
        <v>49</v>
      </c>
      <c r="C12" s="111" t="s">
        <v>50</v>
      </c>
      <c r="D12" s="111" t="s">
        <v>51</v>
      </c>
      <c r="E12" s="111" t="s">
        <v>52</v>
      </c>
      <c r="F12" s="111" t="s">
        <v>53</v>
      </c>
      <c r="G12" s="111" t="s">
        <v>54</v>
      </c>
      <c r="H12" s="111" t="s">
        <v>55</v>
      </c>
      <c r="I12" s="111" t="s">
        <v>56</v>
      </c>
      <c r="J12" s="111" t="s">
        <v>57</v>
      </c>
      <c r="K12" s="57" t="s">
        <v>63</v>
      </c>
      <c r="L12" s="57" t="s">
        <v>64</v>
      </c>
      <c r="M12" s="57" t="s">
        <v>65</v>
      </c>
      <c r="N12" s="111" t="s">
        <v>59</v>
      </c>
      <c r="O12" s="111" t="s">
        <v>60</v>
      </c>
      <c r="P12" s="111" t="s">
        <v>61</v>
      </c>
      <c r="Q12" s="48"/>
      <c r="R12" s="48"/>
      <c r="S12" s="48"/>
      <c r="T12" s="48"/>
      <c r="U12" s="48"/>
      <c r="V12" s="48"/>
      <c r="W12" s="48"/>
      <c r="X12" s="48"/>
      <c r="Y12" s="48"/>
      <c r="Z12" s="48"/>
      <c r="AA12" s="48"/>
      <c r="AB12" s="48"/>
      <c r="AC12" s="48"/>
      <c r="AD12" s="48"/>
    </row>
    <row r="13" spans="1:30" ht="409.5">
      <c r="A13" s="58"/>
      <c r="B13" s="113" t="s">
        <v>248</v>
      </c>
      <c r="C13" s="103"/>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63">
      <c r="A14" s="61" t="str">
        <f>IF(AND(G14="",G14=""),"",$D$3&amp;"_"&amp;ROW()-13-COUNTBLANK($G$14:G14))</f>
        <v/>
      </c>
      <c r="B14" s="114" t="s">
        <v>249</v>
      </c>
      <c r="C14" s="102"/>
      <c r="D14" s="102"/>
      <c r="E14" s="102"/>
      <c r="F14" s="102"/>
      <c r="G14" s="102"/>
      <c r="H14" s="102"/>
      <c r="I14" s="102"/>
      <c r="J14" s="102"/>
      <c r="K14" s="102"/>
      <c r="L14" s="102"/>
      <c r="M14" s="102"/>
      <c r="N14" s="102"/>
      <c r="O14" s="102"/>
      <c r="P14" s="103"/>
      <c r="Q14" s="48"/>
      <c r="R14" s="48"/>
      <c r="S14" s="48"/>
      <c r="T14" s="48"/>
      <c r="U14" s="48"/>
      <c r="V14" s="48"/>
      <c r="W14" s="48"/>
      <c r="X14" s="48"/>
      <c r="Y14" s="48"/>
      <c r="Z14" s="48"/>
      <c r="AA14" s="48"/>
      <c r="AB14" s="48"/>
      <c r="AC14" s="48"/>
      <c r="AD14" s="48"/>
    </row>
    <row r="15" spans="1:30" ht="78.75">
      <c r="A15" s="61" t="str">
        <f>IF(AND(G15="",G15=""),"",$D$3&amp;"_"&amp;ROW()-13-COUNTBLANK($G$14:G15))</f>
        <v/>
      </c>
      <c r="B15" s="115" t="s">
        <v>250</v>
      </c>
      <c r="C15" s="102"/>
      <c r="D15" s="102"/>
      <c r="E15" s="102"/>
      <c r="F15" s="102"/>
      <c r="G15" s="102"/>
      <c r="H15" s="102"/>
      <c r="I15" s="102"/>
      <c r="J15" s="102"/>
      <c r="K15" s="102"/>
      <c r="L15" s="102"/>
      <c r="M15" s="102"/>
      <c r="N15" s="102"/>
      <c r="O15" s="102"/>
      <c r="P15" s="103"/>
      <c r="Q15" s="48"/>
      <c r="R15" s="48"/>
      <c r="S15" s="48"/>
      <c r="T15" s="48"/>
      <c r="U15" s="48"/>
      <c r="V15" s="48"/>
      <c r="W15" s="48"/>
      <c r="X15" s="48"/>
      <c r="Y15" s="48"/>
      <c r="Z15" s="48"/>
      <c r="AA15" s="48"/>
      <c r="AB15" s="48"/>
      <c r="AC15" s="48"/>
      <c r="AD15" s="48"/>
    </row>
    <row r="16" spans="1:30" ht="378">
      <c r="A16" s="61" t="str">
        <f>IF(AND(G16="",G16=""),"",$D$3&amp;"_"&amp;ROW()-13-COUNTBLANK($G$14:G16))</f>
        <v>JD_1</v>
      </c>
      <c r="B16" s="62" t="s">
        <v>250</v>
      </c>
      <c r="C16" s="68" t="s">
        <v>251</v>
      </c>
      <c r="D16" s="68" t="s">
        <v>252</v>
      </c>
      <c r="E16" s="68" t="s">
        <v>253</v>
      </c>
      <c r="F16" s="68" t="s">
        <v>254</v>
      </c>
      <c r="G16" s="68" t="s">
        <v>255</v>
      </c>
      <c r="H16" s="65" t="s">
        <v>83</v>
      </c>
      <c r="I16" s="65" t="s">
        <v>75</v>
      </c>
      <c r="J16" s="65"/>
      <c r="K16" s="65"/>
      <c r="L16" s="65"/>
      <c r="M16" s="66"/>
      <c r="N16" s="67" t="str">
        <f>IF(OR(IF(M16="",IF(L16="",IF(K16="","",K16),L16),M16)="F")=TRUE,"F",IF(OR(IF(M16="",IF(L16="",IF(K16="","",K16),L16),M16)="PE")=TRUE,"PE",IF(AND(IF(M16="",IF(L16="",IF(K16="","",K16),L16),M16)="")=TRUE,"","P")))</f>
        <v/>
      </c>
      <c r="O16" s="68"/>
      <c r="P16" s="68"/>
      <c r="Q16" s="75"/>
      <c r="R16" s="75"/>
      <c r="S16" s="75"/>
      <c r="T16" s="75"/>
      <c r="U16" s="75"/>
      <c r="V16" s="75"/>
      <c r="W16" s="75"/>
      <c r="X16" s="75"/>
      <c r="Y16" s="75"/>
      <c r="Z16" s="75"/>
      <c r="AA16" s="75"/>
      <c r="AB16" s="75"/>
      <c r="AC16" s="75"/>
      <c r="AD16" s="75"/>
    </row>
    <row r="17" spans="1:30" ht="378">
      <c r="A17" s="61" t="str">
        <f>IF(AND(G17="",G17=""),"",$D$3&amp;"_"&amp;ROW()-13-COUNTBLANK($G$14:G17))</f>
        <v>JD_2</v>
      </c>
      <c r="B17" s="111"/>
      <c r="C17" s="68" t="s">
        <v>256</v>
      </c>
      <c r="D17" s="68" t="s">
        <v>257</v>
      </c>
      <c r="E17" s="68" t="s">
        <v>258</v>
      </c>
      <c r="F17" s="68" t="s">
        <v>254</v>
      </c>
      <c r="G17" s="68" t="s">
        <v>259</v>
      </c>
      <c r="H17" s="65" t="s">
        <v>74</v>
      </c>
      <c r="I17" s="65" t="s">
        <v>75</v>
      </c>
      <c r="J17" s="65"/>
      <c r="K17" s="65"/>
      <c r="L17" s="65"/>
      <c r="M17" s="66"/>
      <c r="N17" s="67" t="str">
        <f>IF(OR(IF(M17="",IF(L17="",IF(K17="","",K17),L17),M17)="F")=TRUE,"F",IF(OR(IF(M17="",IF(L17="",IF(K17="","",K17),L17),M17)="PE")=TRUE,"PE",IF(AND(IF(M17="",IF(L17="",IF(K17="","",K17),L17),M17)="")=TRUE,"","P")))</f>
        <v/>
      </c>
      <c r="O17" s="68"/>
      <c r="P17" s="68"/>
      <c r="Q17" s="75"/>
      <c r="R17" s="75"/>
      <c r="S17" s="75"/>
      <c r="T17" s="75"/>
      <c r="U17" s="75"/>
      <c r="V17" s="75"/>
      <c r="W17" s="75"/>
      <c r="X17" s="75"/>
      <c r="Y17" s="75"/>
      <c r="Z17" s="75"/>
      <c r="AA17" s="75"/>
      <c r="AB17" s="75"/>
      <c r="AC17" s="75"/>
      <c r="AD17" s="75"/>
    </row>
    <row r="18" spans="1:30" ht="94.5">
      <c r="A18" s="61" t="str">
        <f>IF(AND(G18="",G18=""),"",$D$3&amp;"_"&amp;ROW()-13-COUNTBLANK($G$14:G18))</f>
        <v/>
      </c>
      <c r="B18" s="115" t="s">
        <v>260</v>
      </c>
      <c r="C18" s="102"/>
      <c r="D18" s="102"/>
      <c r="E18" s="102"/>
      <c r="F18" s="102"/>
      <c r="G18" s="102"/>
      <c r="H18" s="102"/>
      <c r="I18" s="102"/>
      <c r="J18" s="102"/>
      <c r="K18" s="102"/>
      <c r="L18" s="102"/>
      <c r="M18" s="102"/>
      <c r="N18" s="102"/>
      <c r="O18" s="102"/>
      <c r="P18" s="103"/>
      <c r="Q18" s="48"/>
      <c r="R18" s="48"/>
      <c r="S18" s="48"/>
      <c r="T18" s="48"/>
      <c r="U18" s="48"/>
      <c r="V18" s="48"/>
      <c r="W18" s="48"/>
      <c r="X18" s="48"/>
      <c r="Y18" s="48"/>
      <c r="Z18" s="48"/>
      <c r="AA18" s="48"/>
      <c r="AB18" s="48"/>
      <c r="AC18" s="48"/>
      <c r="AD18" s="48"/>
    </row>
    <row r="19" spans="1:30" ht="378">
      <c r="A19" s="61" t="str">
        <f>IF(AND(G19="",G19=""),"",$D$3&amp;"_"&amp;ROW()-13-COUNTBLANK($G$14:G19))</f>
        <v>JD_3</v>
      </c>
      <c r="B19" s="62" t="s">
        <v>260</v>
      </c>
      <c r="C19" s="68" t="s">
        <v>261</v>
      </c>
      <c r="D19" s="68" t="s">
        <v>252</v>
      </c>
      <c r="E19" s="68" t="s">
        <v>253</v>
      </c>
      <c r="F19" s="68" t="s">
        <v>254</v>
      </c>
      <c r="G19" s="68" t="s">
        <v>255</v>
      </c>
      <c r="H19" s="65" t="s">
        <v>83</v>
      </c>
      <c r="I19" s="65" t="s">
        <v>75</v>
      </c>
      <c r="J19" s="65"/>
      <c r="K19" s="65"/>
      <c r="L19" s="65"/>
      <c r="M19" s="66"/>
      <c r="N19" s="67" t="str">
        <f>IF(OR(IF(M19="",IF(L19="",IF(K19="","",K19),L19),M19)="F")=TRUE,"F",IF(OR(IF(M19="",IF(L19="",IF(K19="","",K19),L19),M19)="PE")=TRUE,"PE",IF(AND(IF(M19="",IF(L19="",IF(K19="","",K19),L19),M19)="")=TRUE,"","P")))</f>
        <v/>
      </c>
      <c r="O19" s="68"/>
      <c r="P19" s="68"/>
      <c r="Q19" s="75"/>
      <c r="R19" s="75"/>
      <c r="S19" s="75"/>
      <c r="T19" s="75"/>
      <c r="U19" s="75"/>
      <c r="V19" s="75"/>
      <c r="W19" s="75"/>
      <c r="X19" s="75"/>
      <c r="Y19" s="75"/>
      <c r="Z19" s="75"/>
      <c r="AA19" s="75"/>
      <c r="AB19" s="75"/>
      <c r="AC19" s="75"/>
      <c r="AD19" s="75"/>
    </row>
    <row r="20" spans="1:30" ht="393.75">
      <c r="A20" s="61" t="str">
        <f>IF(AND(G20="",G20=""),"",$D$3&amp;"_"&amp;ROW()-13-COUNTBLANK($G$14:G20))</f>
        <v>JD_4</v>
      </c>
      <c r="B20" s="111"/>
      <c r="C20" s="68" t="s">
        <v>262</v>
      </c>
      <c r="D20" s="68" t="s">
        <v>263</v>
      </c>
      <c r="E20" s="68" t="s">
        <v>264</v>
      </c>
      <c r="F20" s="68" t="s">
        <v>254</v>
      </c>
      <c r="G20" s="68" t="s">
        <v>259</v>
      </c>
      <c r="H20" s="65" t="s">
        <v>74</v>
      </c>
      <c r="I20" s="65" t="s">
        <v>75</v>
      </c>
      <c r="J20" s="65"/>
      <c r="K20" s="65"/>
      <c r="L20" s="65"/>
      <c r="M20" s="66"/>
      <c r="N20" s="67" t="str">
        <f>IF(OR(IF(M20="",IF(L20="",IF(K20="","",K20),L20),M20)="F")=TRUE,"F",IF(OR(IF(M20="",IF(L20="",IF(K20="","",K20),L20),M20)="PE")=TRUE,"PE",IF(AND(IF(M20="",IF(L20="",IF(K20="","",K20),L20),M20)="")=TRUE,"","P")))</f>
        <v/>
      </c>
      <c r="O20" s="68"/>
      <c r="P20" s="68"/>
      <c r="Q20" s="75"/>
      <c r="R20" s="75"/>
      <c r="S20" s="75"/>
      <c r="T20" s="75"/>
      <c r="U20" s="75"/>
      <c r="V20" s="75"/>
      <c r="W20" s="75"/>
      <c r="X20" s="75"/>
      <c r="Y20" s="75"/>
      <c r="Z20" s="75"/>
      <c r="AA20" s="75"/>
      <c r="AB20" s="75"/>
      <c r="AC20" s="75"/>
      <c r="AD20" s="75"/>
    </row>
    <row r="21" spans="1:30" ht="94.5">
      <c r="A21" s="61" t="str">
        <f>IF(AND(G21="",G21=""),"",$D$3&amp;"_"&amp;ROW()-13-COUNTBLANK($G$14:G21))</f>
        <v/>
      </c>
      <c r="B21" s="114" t="s">
        <v>265</v>
      </c>
      <c r="C21" s="102"/>
      <c r="D21" s="102"/>
      <c r="E21" s="102"/>
      <c r="F21" s="102"/>
      <c r="G21" s="102"/>
      <c r="H21" s="102"/>
      <c r="I21" s="102"/>
      <c r="J21" s="102"/>
      <c r="K21" s="102"/>
      <c r="L21" s="102"/>
      <c r="M21" s="102"/>
      <c r="N21" s="102"/>
      <c r="O21" s="102"/>
      <c r="P21" s="103"/>
      <c r="Q21" s="48"/>
      <c r="R21" s="48"/>
      <c r="S21" s="48"/>
      <c r="T21" s="48"/>
      <c r="U21" s="48"/>
      <c r="V21" s="48"/>
      <c r="W21" s="48"/>
      <c r="X21" s="48"/>
      <c r="Y21" s="48"/>
      <c r="Z21" s="48"/>
      <c r="AA21" s="48"/>
      <c r="AB21" s="48"/>
      <c r="AC21" s="48"/>
      <c r="AD21" s="48"/>
    </row>
    <row r="22" spans="1:30" ht="63">
      <c r="A22" s="61" t="str">
        <f>IF(AND(G22="",G22=""),"",$D$3&amp;"_"&amp;ROW()-13-COUNTBLANK($G$14:G22))</f>
        <v/>
      </c>
      <c r="B22" s="115" t="s">
        <v>266</v>
      </c>
      <c r="C22" s="102"/>
      <c r="D22" s="102"/>
      <c r="E22" s="102"/>
      <c r="F22" s="102"/>
      <c r="G22" s="102"/>
      <c r="H22" s="102"/>
      <c r="I22" s="102"/>
      <c r="J22" s="102"/>
      <c r="K22" s="102"/>
      <c r="L22" s="102"/>
      <c r="M22" s="102"/>
      <c r="N22" s="102"/>
      <c r="O22" s="102"/>
      <c r="P22" s="103"/>
      <c r="Q22" s="48"/>
      <c r="R22" s="48"/>
      <c r="S22" s="48"/>
      <c r="T22" s="48"/>
      <c r="U22" s="48"/>
      <c r="V22" s="48"/>
      <c r="W22" s="48"/>
      <c r="X22" s="48"/>
      <c r="Y22" s="48"/>
      <c r="Z22" s="48"/>
      <c r="AA22" s="48"/>
      <c r="AB22" s="48"/>
      <c r="AC22" s="48"/>
      <c r="AD22" s="48"/>
    </row>
    <row r="23" spans="1:30" ht="378">
      <c r="A23" s="61" t="str">
        <f>IF(AND(G23="",G23=""),"",$D$3&amp;"_"&amp;ROW()-13-COUNTBLANK($G$14:G23))</f>
        <v>JD_5</v>
      </c>
      <c r="B23" s="62" t="s">
        <v>266</v>
      </c>
      <c r="C23" s="68" t="s">
        <v>267</v>
      </c>
      <c r="D23" s="68" t="s">
        <v>252</v>
      </c>
      <c r="E23" s="68" t="s">
        <v>253</v>
      </c>
      <c r="F23" s="68" t="s">
        <v>254</v>
      </c>
      <c r="G23" s="68" t="s">
        <v>255</v>
      </c>
      <c r="H23" s="65" t="s">
        <v>83</v>
      </c>
      <c r="I23" s="65" t="s">
        <v>75</v>
      </c>
      <c r="J23" s="65"/>
      <c r="K23" s="65"/>
      <c r="L23" s="65"/>
      <c r="M23" s="66"/>
      <c r="N23" s="67" t="str">
        <f t="shared" ref="N23:N32" si="0">IF(OR(IF(M23="",IF(L23="",IF(K23="","",K23),L23),M23)="F")=TRUE,"F",IF(OR(IF(M23="",IF(L23="",IF(K23="","",K23),L23),M23)="PE")=TRUE,"PE",IF(AND(IF(M23="",IF(L23="",IF(K23="","",K23),L23),M23)="")=TRUE,"","P")))</f>
        <v/>
      </c>
      <c r="O23" s="68"/>
      <c r="P23" s="68"/>
      <c r="Q23" s="75"/>
      <c r="R23" s="75"/>
      <c r="S23" s="75"/>
      <c r="T23" s="75"/>
      <c r="U23" s="75"/>
      <c r="V23" s="75"/>
      <c r="W23" s="75"/>
      <c r="X23" s="75"/>
      <c r="Y23" s="75"/>
      <c r="Z23" s="75"/>
      <c r="AA23" s="75"/>
      <c r="AB23" s="75"/>
      <c r="AC23" s="75"/>
      <c r="AD23" s="75"/>
    </row>
    <row r="24" spans="1:30" ht="378">
      <c r="A24" s="61" t="str">
        <f>IF(AND(G24="",G24=""),"",$D$3&amp;"_"&amp;ROW()-13-COUNTBLANK($G$14:G24))</f>
        <v>JD_6</v>
      </c>
      <c r="B24" s="110"/>
      <c r="C24" s="68" t="s">
        <v>268</v>
      </c>
      <c r="D24" s="68" t="s">
        <v>269</v>
      </c>
      <c r="E24" s="68" t="s">
        <v>270</v>
      </c>
      <c r="F24" s="68" t="s">
        <v>254</v>
      </c>
      <c r="G24" s="68" t="s">
        <v>255</v>
      </c>
      <c r="H24" s="65" t="s">
        <v>83</v>
      </c>
      <c r="I24" s="65" t="s">
        <v>75</v>
      </c>
      <c r="J24" s="65"/>
      <c r="K24" s="65"/>
      <c r="L24" s="65"/>
      <c r="M24" s="66"/>
      <c r="N24" s="67" t="str">
        <f t="shared" si="0"/>
        <v/>
      </c>
      <c r="O24" s="68"/>
      <c r="P24" s="68"/>
      <c r="Q24" s="75"/>
      <c r="R24" s="75"/>
      <c r="S24" s="75"/>
      <c r="T24" s="75"/>
      <c r="U24" s="75"/>
      <c r="V24" s="75"/>
      <c r="W24" s="75"/>
      <c r="X24" s="75"/>
      <c r="Y24" s="75"/>
      <c r="Z24" s="75"/>
      <c r="AA24" s="75"/>
      <c r="AB24" s="75"/>
      <c r="AC24" s="75"/>
      <c r="AD24" s="75"/>
    </row>
    <row r="25" spans="1:30" ht="378">
      <c r="A25" s="61" t="str">
        <f>IF(AND(G25="",G25=""),"",$D$3&amp;"_"&amp;ROW()-13-COUNTBLANK($G$14:G25))</f>
        <v>JD_7</v>
      </c>
      <c r="B25" s="110"/>
      <c r="C25" s="68" t="s">
        <v>271</v>
      </c>
      <c r="D25" s="68" t="s">
        <v>272</v>
      </c>
      <c r="E25" s="68" t="s">
        <v>273</v>
      </c>
      <c r="F25" s="68" t="s">
        <v>254</v>
      </c>
      <c r="G25" s="68" t="s">
        <v>274</v>
      </c>
      <c r="H25" s="65" t="s">
        <v>83</v>
      </c>
      <c r="I25" s="65" t="s">
        <v>75</v>
      </c>
      <c r="J25" s="65"/>
      <c r="K25" s="65"/>
      <c r="L25" s="65"/>
      <c r="M25" s="66"/>
      <c r="N25" s="67" t="str">
        <f t="shared" si="0"/>
        <v/>
      </c>
      <c r="O25" s="68"/>
      <c r="P25" s="68"/>
      <c r="Q25" s="75"/>
      <c r="R25" s="75"/>
      <c r="S25" s="75"/>
      <c r="T25" s="75"/>
      <c r="U25" s="75"/>
      <c r="V25" s="75"/>
      <c r="W25" s="75"/>
      <c r="X25" s="75"/>
      <c r="Y25" s="75"/>
      <c r="Z25" s="75"/>
      <c r="AA25" s="75"/>
      <c r="AB25" s="75"/>
      <c r="AC25" s="75"/>
      <c r="AD25" s="75"/>
    </row>
    <row r="26" spans="1:30" ht="220.5">
      <c r="A26" s="61" t="str">
        <f>IF(AND(G26="",G26=""),"",$D$3&amp;"_"&amp;ROW()-13-COUNTBLANK($G$14:G26))</f>
        <v>JD_8</v>
      </c>
      <c r="B26" s="110"/>
      <c r="C26" s="68" t="s">
        <v>275</v>
      </c>
      <c r="D26" s="68" t="s">
        <v>276</v>
      </c>
      <c r="E26" s="68" t="s">
        <v>277</v>
      </c>
      <c r="F26" s="68" t="s">
        <v>254</v>
      </c>
      <c r="G26" s="68" t="s">
        <v>278</v>
      </c>
      <c r="H26" s="65" t="s">
        <v>74</v>
      </c>
      <c r="I26" s="65" t="s">
        <v>75</v>
      </c>
      <c r="J26" s="65"/>
      <c r="K26" s="65"/>
      <c r="L26" s="65"/>
      <c r="M26" s="66"/>
      <c r="N26" s="67" t="str">
        <f t="shared" si="0"/>
        <v/>
      </c>
      <c r="O26" s="68"/>
      <c r="P26" s="68"/>
      <c r="Q26" s="75"/>
      <c r="R26" s="75"/>
      <c r="S26" s="75"/>
      <c r="T26" s="75"/>
      <c r="U26" s="75"/>
      <c r="V26" s="75"/>
      <c r="W26" s="75"/>
      <c r="X26" s="75"/>
      <c r="Y26" s="75"/>
      <c r="Z26" s="75"/>
      <c r="AA26" s="75"/>
      <c r="AB26" s="75"/>
      <c r="AC26" s="75"/>
      <c r="AD26" s="75"/>
    </row>
    <row r="27" spans="1:30" ht="220.5">
      <c r="A27" s="61" t="str">
        <f>IF(AND(G27="",G27=""),"",$D$3&amp;"_"&amp;ROW()-13-COUNTBLANK($G$14:G27))</f>
        <v>JD_9</v>
      </c>
      <c r="B27" s="110"/>
      <c r="C27" s="68" t="s">
        <v>279</v>
      </c>
      <c r="D27" s="68" t="s">
        <v>280</v>
      </c>
      <c r="E27" s="68" t="s">
        <v>281</v>
      </c>
      <c r="F27" s="68" t="s">
        <v>254</v>
      </c>
      <c r="G27" s="68" t="s">
        <v>278</v>
      </c>
      <c r="H27" s="65" t="s">
        <v>74</v>
      </c>
      <c r="I27" s="65" t="s">
        <v>75</v>
      </c>
      <c r="J27" s="65"/>
      <c r="K27" s="65"/>
      <c r="L27" s="65"/>
      <c r="M27" s="66"/>
      <c r="N27" s="67" t="str">
        <f t="shared" si="0"/>
        <v/>
      </c>
      <c r="O27" s="68"/>
      <c r="P27" s="68"/>
      <c r="Q27" s="75"/>
      <c r="R27" s="75"/>
      <c r="S27" s="75"/>
      <c r="T27" s="75"/>
      <c r="U27" s="75"/>
      <c r="V27" s="75"/>
      <c r="W27" s="75"/>
      <c r="X27" s="75"/>
      <c r="Y27" s="75"/>
      <c r="Z27" s="75"/>
      <c r="AA27" s="75"/>
      <c r="AB27" s="75"/>
      <c r="AC27" s="75"/>
      <c r="AD27" s="75"/>
    </row>
    <row r="28" spans="1:30" ht="220.5">
      <c r="A28" s="61" t="str">
        <f>IF(AND(G28="",G28=""),"",$D$3&amp;"_"&amp;ROW()-13-COUNTBLANK($G$14:G28))</f>
        <v>JD_10</v>
      </c>
      <c r="B28" s="110"/>
      <c r="C28" s="68" t="s">
        <v>282</v>
      </c>
      <c r="D28" s="68" t="s">
        <v>283</v>
      </c>
      <c r="E28" s="68" t="s">
        <v>284</v>
      </c>
      <c r="F28" s="68" t="s">
        <v>254</v>
      </c>
      <c r="G28" s="68" t="s">
        <v>278</v>
      </c>
      <c r="H28" s="65" t="s">
        <v>74</v>
      </c>
      <c r="I28" s="65" t="s">
        <v>75</v>
      </c>
      <c r="J28" s="65"/>
      <c r="K28" s="65"/>
      <c r="L28" s="65"/>
      <c r="M28" s="66"/>
      <c r="N28" s="67" t="str">
        <f t="shared" si="0"/>
        <v/>
      </c>
      <c r="O28" s="68"/>
      <c r="P28" s="68"/>
      <c r="Q28" s="75"/>
      <c r="R28" s="75"/>
      <c r="S28" s="75"/>
      <c r="T28" s="75"/>
      <c r="U28" s="75"/>
      <c r="V28" s="75"/>
      <c r="W28" s="75"/>
      <c r="X28" s="75"/>
      <c r="Y28" s="75"/>
      <c r="Z28" s="75"/>
      <c r="AA28" s="75"/>
      <c r="AB28" s="75"/>
      <c r="AC28" s="75"/>
      <c r="AD28" s="75"/>
    </row>
    <row r="29" spans="1:30" ht="220.5">
      <c r="A29" s="61" t="str">
        <f>IF(AND(G29="",G29=""),"",$D$3&amp;"_"&amp;ROW()-13-COUNTBLANK($G$14:G29))</f>
        <v>JD_11</v>
      </c>
      <c r="B29" s="110"/>
      <c r="C29" s="68" t="s">
        <v>285</v>
      </c>
      <c r="D29" s="68" t="s">
        <v>286</v>
      </c>
      <c r="E29" s="68" t="s">
        <v>287</v>
      </c>
      <c r="F29" s="68" t="s">
        <v>254</v>
      </c>
      <c r="G29" s="68" t="s">
        <v>278</v>
      </c>
      <c r="H29" s="65" t="s">
        <v>74</v>
      </c>
      <c r="I29" s="65" t="s">
        <v>75</v>
      </c>
      <c r="J29" s="65"/>
      <c r="K29" s="65"/>
      <c r="L29" s="65"/>
      <c r="M29" s="66"/>
      <c r="N29" s="67" t="str">
        <f t="shared" si="0"/>
        <v/>
      </c>
      <c r="O29" s="68"/>
      <c r="P29" s="68"/>
      <c r="Q29" s="75"/>
      <c r="R29" s="75"/>
      <c r="S29" s="75"/>
      <c r="T29" s="75"/>
      <c r="U29" s="75"/>
      <c r="V29" s="75"/>
      <c r="W29" s="75"/>
      <c r="X29" s="75"/>
      <c r="Y29" s="75"/>
      <c r="Z29" s="75"/>
      <c r="AA29" s="75"/>
      <c r="AB29" s="75"/>
      <c r="AC29" s="75"/>
      <c r="AD29" s="75"/>
    </row>
    <row r="30" spans="1:30" ht="220.5">
      <c r="A30" s="61" t="str">
        <f>IF(AND(G30="",G30=""),"",$D$3&amp;"_"&amp;ROW()-13-COUNTBLANK($G$14:G30))</f>
        <v>JD_12</v>
      </c>
      <c r="B30" s="110"/>
      <c r="C30" s="68" t="s">
        <v>288</v>
      </c>
      <c r="D30" s="68" t="s">
        <v>289</v>
      </c>
      <c r="E30" s="68" t="s">
        <v>290</v>
      </c>
      <c r="F30" s="68" t="s">
        <v>254</v>
      </c>
      <c r="G30" s="68" t="s">
        <v>278</v>
      </c>
      <c r="H30" s="65" t="s">
        <v>74</v>
      </c>
      <c r="I30" s="65" t="s">
        <v>75</v>
      </c>
      <c r="J30" s="65"/>
      <c r="K30" s="65"/>
      <c r="L30" s="65"/>
      <c r="M30" s="66"/>
      <c r="N30" s="67" t="str">
        <f t="shared" si="0"/>
        <v/>
      </c>
      <c r="O30" s="68"/>
      <c r="P30" s="68"/>
      <c r="Q30" s="75"/>
      <c r="R30" s="75"/>
      <c r="S30" s="75"/>
      <c r="T30" s="75"/>
      <c r="U30" s="75"/>
      <c r="V30" s="75"/>
      <c r="W30" s="75"/>
      <c r="X30" s="75"/>
      <c r="Y30" s="75"/>
      <c r="Z30" s="75"/>
      <c r="AA30" s="75"/>
      <c r="AB30" s="75"/>
      <c r="AC30" s="75"/>
      <c r="AD30" s="75"/>
    </row>
    <row r="31" spans="1:30" ht="220.5">
      <c r="A31" s="61" t="str">
        <f>IF(AND(G31="",G31=""),"",$D$3&amp;"_"&amp;ROW()-13-COUNTBLANK($G$14:G31))</f>
        <v>JD_13</v>
      </c>
      <c r="B31" s="110"/>
      <c r="C31" s="68" t="s">
        <v>291</v>
      </c>
      <c r="D31" s="68" t="s">
        <v>292</v>
      </c>
      <c r="E31" s="68" t="s">
        <v>293</v>
      </c>
      <c r="F31" s="68" t="s">
        <v>254</v>
      </c>
      <c r="G31" s="68" t="s">
        <v>278</v>
      </c>
      <c r="H31" s="65" t="s">
        <v>74</v>
      </c>
      <c r="I31" s="65" t="s">
        <v>75</v>
      </c>
      <c r="J31" s="65"/>
      <c r="K31" s="65"/>
      <c r="L31" s="65"/>
      <c r="M31" s="66"/>
      <c r="N31" s="67" t="str">
        <f t="shared" si="0"/>
        <v/>
      </c>
      <c r="O31" s="68"/>
      <c r="P31" s="68"/>
      <c r="Q31" s="75"/>
      <c r="R31" s="75"/>
      <c r="S31" s="75"/>
      <c r="T31" s="75"/>
      <c r="U31" s="75"/>
      <c r="V31" s="75"/>
      <c r="W31" s="75"/>
      <c r="X31" s="75"/>
      <c r="Y31" s="75"/>
      <c r="Z31" s="75"/>
      <c r="AA31" s="75"/>
      <c r="AB31" s="75"/>
      <c r="AC31" s="75"/>
      <c r="AD31" s="75"/>
    </row>
    <row r="32" spans="1:30" ht="220.5">
      <c r="A32" s="61" t="str">
        <f>IF(AND(G32="",G32=""),"",$D$3&amp;"_"&amp;ROW()-13-COUNTBLANK($G$14:G32))</f>
        <v>JD_14</v>
      </c>
      <c r="B32" s="111"/>
      <c r="C32" s="68" t="s">
        <v>294</v>
      </c>
      <c r="D32" s="68" t="s">
        <v>295</v>
      </c>
      <c r="E32" s="68" t="s">
        <v>296</v>
      </c>
      <c r="F32" s="68" t="s">
        <v>254</v>
      </c>
      <c r="G32" s="68" t="s">
        <v>278</v>
      </c>
      <c r="H32" s="65" t="s">
        <v>74</v>
      </c>
      <c r="I32" s="65" t="s">
        <v>75</v>
      </c>
      <c r="J32" s="65"/>
      <c r="K32" s="65"/>
      <c r="L32" s="65"/>
      <c r="M32" s="66"/>
      <c r="N32" s="67" t="str">
        <f t="shared" si="0"/>
        <v/>
      </c>
      <c r="O32" s="68"/>
      <c r="P32" s="68"/>
      <c r="Q32" s="75"/>
      <c r="R32" s="75"/>
      <c r="S32" s="75"/>
      <c r="T32" s="75"/>
      <c r="U32" s="75"/>
      <c r="V32" s="75"/>
      <c r="W32" s="75"/>
      <c r="X32" s="75"/>
      <c r="Y32" s="75"/>
      <c r="Z32" s="75"/>
      <c r="AA32" s="75"/>
      <c r="AB32" s="75"/>
      <c r="AC32" s="75"/>
      <c r="AD32" s="75"/>
    </row>
    <row r="33" spans="1:30" ht="15.75">
      <c r="A33" s="61" t="str">
        <f>IF(AND(G33="",G33=""),"",$D$3&amp;"_"&amp;ROW()-13-COUNTBLANK($G$14:G33))</f>
        <v/>
      </c>
      <c r="B33" s="115" t="s">
        <v>297</v>
      </c>
      <c r="C33" s="102"/>
      <c r="D33" s="102"/>
      <c r="E33" s="102"/>
      <c r="F33" s="102"/>
      <c r="G33" s="102"/>
      <c r="H33" s="102"/>
      <c r="I33" s="102"/>
      <c r="J33" s="102"/>
      <c r="K33" s="102"/>
      <c r="L33" s="102"/>
      <c r="M33" s="102"/>
      <c r="N33" s="102"/>
      <c r="O33" s="102"/>
      <c r="P33" s="103"/>
      <c r="Q33" s="48"/>
      <c r="R33" s="48"/>
      <c r="S33" s="48"/>
      <c r="T33" s="48"/>
      <c r="U33" s="48"/>
      <c r="V33" s="48"/>
      <c r="W33" s="48"/>
      <c r="X33" s="48"/>
      <c r="Y33" s="48"/>
      <c r="Z33" s="48"/>
      <c r="AA33" s="48"/>
      <c r="AB33" s="48"/>
      <c r="AC33" s="48"/>
      <c r="AD33" s="48"/>
    </row>
    <row r="34" spans="1:30" ht="220.5">
      <c r="A34" s="61" t="str">
        <f>IF(AND(G34="",G34=""),"",$D$3&amp;"_"&amp;ROW()-13-COUNTBLANK($G$14:G34))</f>
        <v>JD_15</v>
      </c>
      <c r="B34" s="62" t="s">
        <v>297</v>
      </c>
      <c r="C34" s="68" t="s">
        <v>298</v>
      </c>
      <c r="D34" s="68" t="s">
        <v>252</v>
      </c>
      <c r="E34" s="68" t="s">
        <v>253</v>
      </c>
      <c r="F34" s="68" t="s">
        <v>254</v>
      </c>
      <c r="G34" s="68" t="s">
        <v>255</v>
      </c>
      <c r="H34" s="65" t="s">
        <v>83</v>
      </c>
      <c r="I34" s="65" t="s">
        <v>75</v>
      </c>
      <c r="J34" s="65"/>
      <c r="K34" s="65"/>
      <c r="L34" s="65"/>
      <c r="M34" s="66"/>
      <c r="N34" s="67" t="str">
        <f t="shared" ref="N34:N43" si="1">IF(OR(IF(M34="",IF(L34="",IF(K34="","",K34),L34),M34)="F")=TRUE,"F",IF(OR(IF(M34="",IF(L34="",IF(K34="","",K34),L34),M34)="PE")=TRUE,"PE",IF(AND(IF(M34="",IF(L34="",IF(K34="","",K34),L34),M34)="")=TRUE,"","P")))</f>
        <v/>
      </c>
      <c r="O34" s="68"/>
      <c r="P34" s="68"/>
      <c r="Q34" s="75"/>
      <c r="R34" s="75"/>
      <c r="S34" s="75"/>
      <c r="T34" s="75"/>
      <c r="U34" s="75"/>
      <c r="V34" s="75"/>
      <c r="W34" s="75"/>
      <c r="X34" s="75"/>
      <c r="Y34" s="75"/>
      <c r="Z34" s="75"/>
      <c r="AA34" s="75"/>
      <c r="AB34" s="75"/>
      <c r="AC34" s="75"/>
      <c r="AD34" s="75"/>
    </row>
    <row r="35" spans="1:30" ht="220.5">
      <c r="A35" s="61" t="str">
        <f>IF(AND(G35="",G35=""),"",$D$3&amp;"_"&amp;ROW()-13-COUNTBLANK($G$14:G35))</f>
        <v>JD_16</v>
      </c>
      <c r="B35" s="110"/>
      <c r="C35" s="68" t="s">
        <v>299</v>
      </c>
      <c r="D35" s="68" t="s">
        <v>300</v>
      </c>
      <c r="E35" s="68" t="s">
        <v>301</v>
      </c>
      <c r="F35" s="68" t="s">
        <v>254</v>
      </c>
      <c r="G35" s="68" t="s">
        <v>255</v>
      </c>
      <c r="H35" s="65" t="s">
        <v>83</v>
      </c>
      <c r="I35" s="65" t="s">
        <v>75</v>
      </c>
      <c r="J35" s="65"/>
      <c r="K35" s="65"/>
      <c r="L35" s="65"/>
      <c r="M35" s="66"/>
      <c r="N35" s="67" t="str">
        <f t="shared" si="1"/>
        <v/>
      </c>
      <c r="O35" s="68"/>
      <c r="P35" s="68"/>
      <c r="Q35" s="75"/>
      <c r="R35" s="75"/>
      <c r="S35" s="75"/>
      <c r="T35" s="75"/>
      <c r="U35" s="75"/>
      <c r="V35" s="75"/>
      <c r="W35" s="75"/>
      <c r="X35" s="75"/>
      <c r="Y35" s="75"/>
      <c r="Z35" s="75"/>
      <c r="AA35" s="75"/>
      <c r="AB35" s="75"/>
      <c r="AC35" s="75"/>
      <c r="AD35" s="75"/>
    </row>
    <row r="36" spans="1:30" ht="220.5">
      <c r="A36" s="61" t="str">
        <f>IF(AND(G36="",G36=""),"",$D$3&amp;"_"&amp;ROW()-13-COUNTBLANK($G$14:G36))</f>
        <v>JD_17</v>
      </c>
      <c r="B36" s="110"/>
      <c r="C36" s="68" t="s">
        <v>302</v>
      </c>
      <c r="D36" s="68" t="s">
        <v>303</v>
      </c>
      <c r="E36" s="68" t="s">
        <v>304</v>
      </c>
      <c r="F36" s="68" t="s">
        <v>254</v>
      </c>
      <c r="G36" s="68" t="s">
        <v>305</v>
      </c>
      <c r="H36" s="65" t="s">
        <v>83</v>
      </c>
      <c r="I36" s="65" t="s">
        <v>75</v>
      </c>
      <c r="J36" s="65"/>
      <c r="K36" s="65"/>
      <c r="L36" s="65"/>
      <c r="M36" s="66"/>
      <c r="N36" s="67" t="str">
        <f t="shared" si="1"/>
        <v/>
      </c>
      <c r="O36" s="68"/>
      <c r="P36" s="68"/>
      <c r="Q36" s="75"/>
      <c r="R36" s="75"/>
      <c r="S36" s="75"/>
      <c r="T36" s="75"/>
      <c r="U36" s="75"/>
      <c r="V36" s="75"/>
      <c r="W36" s="75"/>
      <c r="X36" s="75"/>
      <c r="Y36" s="75"/>
      <c r="Z36" s="75"/>
      <c r="AA36" s="75"/>
      <c r="AB36" s="75"/>
      <c r="AC36" s="75"/>
      <c r="AD36" s="75"/>
    </row>
    <row r="37" spans="1:30" ht="220.5">
      <c r="A37" s="61" t="str">
        <f>IF(AND(G37="",G37=""),"",$D$3&amp;"_"&amp;ROW()-13-COUNTBLANK($G$14:G37))</f>
        <v>JD_18</v>
      </c>
      <c r="B37" s="110"/>
      <c r="C37" s="68" t="s">
        <v>306</v>
      </c>
      <c r="D37" s="68" t="s">
        <v>307</v>
      </c>
      <c r="E37" s="68" t="s">
        <v>308</v>
      </c>
      <c r="F37" s="68" t="s">
        <v>254</v>
      </c>
      <c r="G37" s="68" t="s">
        <v>278</v>
      </c>
      <c r="H37" s="65" t="s">
        <v>74</v>
      </c>
      <c r="I37" s="65" t="s">
        <v>75</v>
      </c>
      <c r="J37" s="65"/>
      <c r="K37" s="65"/>
      <c r="L37" s="65"/>
      <c r="M37" s="66"/>
      <c r="N37" s="67" t="str">
        <f t="shared" si="1"/>
        <v/>
      </c>
      <c r="O37" s="68"/>
      <c r="P37" s="68"/>
      <c r="Q37" s="75"/>
      <c r="R37" s="75"/>
      <c r="S37" s="75"/>
      <c r="T37" s="75"/>
      <c r="U37" s="75"/>
      <c r="V37" s="75"/>
      <c r="W37" s="75"/>
      <c r="X37" s="75"/>
      <c r="Y37" s="75"/>
      <c r="Z37" s="75"/>
      <c r="AA37" s="75"/>
      <c r="AB37" s="75"/>
      <c r="AC37" s="75"/>
      <c r="AD37" s="75"/>
    </row>
    <row r="38" spans="1:30" ht="220.5">
      <c r="A38" s="61" t="str">
        <f>IF(AND(G38="",G38=""),"",$D$3&amp;"_"&amp;ROW()-13-COUNTBLANK($G$14:G38))</f>
        <v>JD_19</v>
      </c>
      <c r="B38" s="110"/>
      <c r="C38" s="68" t="s">
        <v>309</v>
      </c>
      <c r="D38" s="68" t="s">
        <v>310</v>
      </c>
      <c r="E38" s="68" t="s">
        <v>311</v>
      </c>
      <c r="F38" s="68" t="s">
        <v>254</v>
      </c>
      <c r="G38" s="68" t="s">
        <v>278</v>
      </c>
      <c r="H38" s="65" t="s">
        <v>74</v>
      </c>
      <c r="I38" s="65" t="s">
        <v>75</v>
      </c>
      <c r="J38" s="65"/>
      <c r="K38" s="65"/>
      <c r="L38" s="65"/>
      <c r="M38" s="66"/>
      <c r="N38" s="67" t="str">
        <f t="shared" si="1"/>
        <v/>
      </c>
      <c r="O38" s="68"/>
      <c r="P38" s="68"/>
      <c r="Q38" s="75"/>
      <c r="R38" s="75"/>
      <c r="S38" s="75"/>
      <c r="T38" s="75"/>
      <c r="U38" s="75"/>
      <c r="V38" s="75"/>
      <c r="W38" s="75"/>
      <c r="X38" s="75"/>
      <c r="Y38" s="75"/>
      <c r="Z38" s="75"/>
      <c r="AA38" s="75"/>
      <c r="AB38" s="75"/>
      <c r="AC38" s="75"/>
      <c r="AD38" s="75"/>
    </row>
    <row r="39" spans="1:30" ht="220.5">
      <c r="A39" s="61" t="str">
        <f>IF(AND(G39="",G39=""),"",$D$3&amp;"_"&amp;ROW()-13-COUNTBLANK($G$14:G39))</f>
        <v>JD_20</v>
      </c>
      <c r="B39" s="110"/>
      <c r="C39" s="68" t="s">
        <v>312</v>
      </c>
      <c r="D39" s="68" t="s">
        <v>313</v>
      </c>
      <c r="E39" s="68" t="s">
        <v>314</v>
      </c>
      <c r="F39" s="68" t="s">
        <v>254</v>
      </c>
      <c r="G39" s="68" t="s">
        <v>278</v>
      </c>
      <c r="H39" s="65" t="s">
        <v>74</v>
      </c>
      <c r="I39" s="65" t="s">
        <v>75</v>
      </c>
      <c r="J39" s="65"/>
      <c r="K39" s="65"/>
      <c r="L39" s="65"/>
      <c r="M39" s="66"/>
      <c r="N39" s="67" t="str">
        <f t="shared" si="1"/>
        <v/>
      </c>
      <c r="O39" s="68"/>
      <c r="P39" s="68"/>
      <c r="Q39" s="75"/>
      <c r="R39" s="75"/>
      <c r="S39" s="75"/>
      <c r="T39" s="75"/>
      <c r="U39" s="75"/>
      <c r="V39" s="75"/>
      <c r="W39" s="75"/>
      <c r="X39" s="75"/>
      <c r="Y39" s="75"/>
      <c r="Z39" s="75"/>
      <c r="AA39" s="75"/>
      <c r="AB39" s="75"/>
      <c r="AC39" s="75"/>
      <c r="AD39" s="75"/>
    </row>
    <row r="40" spans="1:30" ht="220.5">
      <c r="A40" s="61" t="str">
        <f>IF(AND(G40="",G40=""),"",$D$3&amp;"_"&amp;ROW()-13-COUNTBLANK($G$14:G40))</f>
        <v>JD_21</v>
      </c>
      <c r="B40" s="110"/>
      <c r="C40" s="68" t="s">
        <v>315</v>
      </c>
      <c r="D40" s="68" t="s">
        <v>316</v>
      </c>
      <c r="E40" s="68" t="s">
        <v>317</v>
      </c>
      <c r="F40" s="68" t="s">
        <v>254</v>
      </c>
      <c r="G40" s="68" t="s">
        <v>278</v>
      </c>
      <c r="H40" s="65" t="s">
        <v>74</v>
      </c>
      <c r="I40" s="65" t="s">
        <v>75</v>
      </c>
      <c r="J40" s="65"/>
      <c r="K40" s="65"/>
      <c r="L40" s="65"/>
      <c r="M40" s="66"/>
      <c r="N40" s="67" t="str">
        <f t="shared" si="1"/>
        <v/>
      </c>
      <c r="O40" s="68"/>
      <c r="P40" s="68"/>
      <c r="Q40" s="75"/>
      <c r="R40" s="75"/>
      <c r="S40" s="75"/>
      <c r="T40" s="75"/>
      <c r="U40" s="75"/>
      <c r="V40" s="75"/>
      <c r="W40" s="75"/>
      <c r="X40" s="75"/>
      <c r="Y40" s="75"/>
      <c r="Z40" s="75"/>
      <c r="AA40" s="75"/>
      <c r="AB40" s="75"/>
      <c r="AC40" s="75"/>
      <c r="AD40" s="75"/>
    </row>
    <row r="41" spans="1:30" ht="220.5">
      <c r="A41" s="61" t="str">
        <f>IF(AND(G41="",G41=""),"",$D$3&amp;"_"&amp;ROW()-13-COUNTBLANK($G$14:G41))</f>
        <v>JD_22</v>
      </c>
      <c r="B41" s="110"/>
      <c r="C41" s="68" t="s">
        <v>318</v>
      </c>
      <c r="D41" s="68" t="s">
        <v>319</v>
      </c>
      <c r="E41" s="68" t="s">
        <v>320</v>
      </c>
      <c r="F41" s="68" t="s">
        <v>254</v>
      </c>
      <c r="G41" s="68" t="s">
        <v>278</v>
      </c>
      <c r="H41" s="65" t="s">
        <v>74</v>
      </c>
      <c r="I41" s="65" t="s">
        <v>75</v>
      </c>
      <c r="J41" s="65"/>
      <c r="K41" s="65"/>
      <c r="L41" s="65"/>
      <c r="M41" s="66"/>
      <c r="N41" s="67" t="str">
        <f t="shared" si="1"/>
        <v/>
      </c>
      <c r="O41" s="68"/>
      <c r="P41" s="68"/>
      <c r="Q41" s="75"/>
      <c r="R41" s="75"/>
      <c r="S41" s="75"/>
      <c r="T41" s="75"/>
      <c r="U41" s="75"/>
      <c r="V41" s="75"/>
      <c r="W41" s="75"/>
      <c r="X41" s="75"/>
      <c r="Y41" s="75"/>
      <c r="Z41" s="75"/>
      <c r="AA41" s="75"/>
      <c r="AB41" s="75"/>
      <c r="AC41" s="75"/>
      <c r="AD41" s="75"/>
    </row>
    <row r="42" spans="1:30" ht="220.5">
      <c r="A42" s="61" t="str">
        <f>IF(AND(G42="",G42=""),"",$D$3&amp;"_"&amp;ROW()-13-COUNTBLANK($G$14:G42))</f>
        <v>JD_23</v>
      </c>
      <c r="B42" s="110"/>
      <c r="C42" s="68" t="s">
        <v>321</v>
      </c>
      <c r="D42" s="68" t="s">
        <v>322</v>
      </c>
      <c r="E42" s="68" t="s">
        <v>323</v>
      </c>
      <c r="F42" s="68" t="s">
        <v>254</v>
      </c>
      <c r="G42" s="68" t="s">
        <v>278</v>
      </c>
      <c r="H42" s="65" t="s">
        <v>74</v>
      </c>
      <c r="I42" s="65" t="s">
        <v>75</v>
      </c>
      <c r="J42" s="65"/>
      <c r="K42" s="65"/>
      <c r="L42" s="65"/>
      <c r="M42" s="66"/>
      <c r="N42" s="67" t="str">
        <f t="shared" si="1"/>
        <v/>
      </c>
      <c r="O42" s="68"/>
      <c r="P42" s="68"/>
      <c r="Q42" s="75"/>
      <c r="R42" s="75"/>
      <c r="S42" s="75"/>
      <c r="T42" s="75"/>
      <c r="U42" s="75"/>
      <c r="V42" s="75"/>
      <c r="W42" s="75"/>
      <c r="X42" s="75"/>
      <c r="Y42" s="75"/>
      <c r="Z42" s="75"/>
      <c r="AA42" s="75"/>
      <c r="AB42" s="75"/>
      <c r="AC42" s="75"/>
      <c r="AD42" s="75"/>
    </row>
    <row r="43" spans="1:30" ht="220.5">
      <c r="A43" s="61" t="str">
        <f>IF(AND(G43="",G43=""),"",$D$3&amp;"_"&amp;ROW()-13-COUNTBLANK($G$14:G43))</f>
        <v>JD_24</v>
      </c>
      <c r="B43" s="111"/>
      <c r="C43" s="68" t="s">
        <v>324</v>
      </c>
      <c r="D43" s="68" t="s">
        <v>325</v>
      </c>
      <c r="E43" s="68" t="s">
        <v>326</v>
      </c>
      <c r="F43" s="68" t="s">
        <v>254</v>
      </c>
      <c r="G43" s="68" t="s">
        <v>278</v>
      </c>
      <c r="H43" s="65" t="s">
        <v>74</v>
      </c>
      <c r="I43" s="65" t="s">
        <v>75</v>
      </c>
      <c r="J43" s="65"/>
      <c r="K43" s="65"/>
      <c r="L43" s="65"/>
      <c r="M43" s="66"/>
      <c r="N43" s="67" t="str">
        <f t="shared" si="1"/>
        <v/>
      </c>
      <c r="O43" s="68"/>
      <c r="P43" s="68"/>
      <c r="Q43" s="75"/>
      <c r="R43" s="75"/>
      <c r="S43" s="75"/>
      <c r="T43" s="75"/>
      <c r="U43" s="75"/>
      <c r="V43" s="75"/>
      <c r="W43" s="75"/>
      <c r="X43" s="75"/>
      <c r="Y43" s="75"/>
      <c r="Z43" s="75"/>
      <c r="AA43" s="75"/>
      <c r="AB43" s="75"/>
      <c r="AC43" s="75"/>
      <c r="AD43" s="75"/>
    </row>
    <row r="44" spans="1:30" ht="15.75">
      <c r="A44" s="61" t="str">
        <f>IF(AND(G44="",G44=""),"",$D$3&amp;"_"&amp;ROW()-13-COUNTBLANK($G$14:G44))</f>
        <v/>
      </c>
      <c r="B44" s="115" t="s">
        <v>327</v>
      </c>
      <c r="C44" s="102"/>
      <c r="D44" s="102"/>
      <c r="E44" s="102"/>
      <c r="F44" s="102"/>
      <c r="G44" s="102"/>
      <c r="H44" s="102"/>
      <c r="I44" s="102"/>
      <c r="J44" s="102"/>
      <c r="K44" s="102"/>
      <c r="L44" s="102"/>
      <c r="M44" s="102"/>
      <c r="N44" s="102"/>
      <c r="O44" s="102"/>
      <c r="P44" s="103"/>
      <c r="Q44" s="48"/>
      <c r="R44" s="48"/>
      <c r="S44" s="48"/>
      <c r="T44" s="48"/>
      <c r="U44" s="48"/>
      <c r="V44" s="48"/>
      <c r="W44" s="48"/>
      <c r="X44" s="48"/>
      <c r="Y44" s="48"/>
      <c r="Z44" s="48"/>
      <c r="AA44" s="48"/>
      <c r="AB44" s="48"/>
      <c r="AC44" s="48"/>
      <c r="AD44" s="48"/>
    </row>
    <row r="45" spans="1:30" ht="220.5">
      <c r="A45" s="61" t="str">
        <f>IF(AND(G45="",G45=""),"",$D$3&amp;"_"&amp;ROW()-13-COUNTBLANK($G$14:G45))</f>
        <v>JD_25</v>
      </c>
      <c r="B45" s="62" t="s">
        <v>327</v>
      </c>
      <c r="C45" s="68" t="s">
        <v>328</v>
      </c>
      <c r="D45" s="68" t="s">
        <v>252</v>
      </c>
      <c r="E45" s="68" t="s">
        <v>253</v>
      </c>
      <c r="F45" s="68" t="s">
        <v>254</v>
      </c>
      <c r="G45" s="68" t="s">
        <v>255</v>
      </c>
      <c r="H45" s="65" t="s">
        <v>83</v>
      </c>
      <c r="I45" s="65" t="s">
        <v>75</v>
      </c>
      <c r="J45" s="65"/>
      <c r="K45" s="65"/>
      <c r="L45" s="65"/>
      <c r="M45" s="66"/>
      <c r="N45" s="67" t="str">
        <f t="shared" ref="N45:N54" si="2">IF(OR(IF(M45="",IF(L45="",IF(K45="","",K45),L45),M45)="F")=TRUE,"F",IF(OR(IF(M45="",IF(L45="",IF(K45="","",K45),L45),M45)="PE")=TRUE,"PE",IF(AND(IF(M45="",IF(L45="",IF(K45="","",K45),L45),M45)="")=TRUE,"","P")))</f>
        <v/>
      </c>
      <c r="O45" s="68"/>
      <c r="P45" s="68"/>
      <c r="Q45" s="75"/>
      <c r="R45" s="75"/>
      <c r="S45" s="75"/>
      <c r="T45" s="75"/>
      <c r="U45" s="75"/>
      <c r="V45" s="75"/>
      <c r="W45" s="75"/>
      <c r="X45" s="75"/>
      <c r="Y45" s="75"/>
      <c r="Z45" s="75"/>
      <c r="AA45" s="75"/>
      <c r="AB45" s="75"/>
      <c r="AC45" s="75"/>
      <c r="AD45" s="75"/>
    </row>
    <row r="46" spans="1:30" ht="220.5">
      <c r="A46" s="61" t="str">
        <f>IF(AND(G46="",G46=""),"",$D$3&amp;"_"&amp;ROW()-13-COUNTBLANK($G$14:G46))</f>
        <v>JD_26</v>
      </c>
      <c r="B46" s="110"/>
      <c r="C46" s="68" t="s">
        <v>329</v>
      </c>
      <c r="D46" s="68" t="s">
        <v>330</v>
      </c>
      <c r="E46" s="68" t="s">
        <v>331</v>
      </c>
      <c r="F46" s="68" t="s">
        <v>254</v>
      </c>
      <c r="G46" s="68" t="s">
        <v>255</v>
      </c>
      <c r="H46" s="65" t="s">
        <v>83</v>
      </c>
      <c r="I46" s="65" t="s">
        <v>75</v>
      </c>
      <c r="J46" s="65"/>
      <c r="K46" s="65"/>
      <c r="L46" s="65"/>
      <c r="M46" s="66"/>
      <c r="N46" s="67" t="str">
        <f t="shared" si="2"/>
        <v/>
      </c>
      <c r="O46" s="68"/>
      <c r="P46" s="68"/>
      <c r="Q46" s="75"/>
      <c r="R46" s="75"/>
      <c r="S46" s="75"/>
      <c r="T46" s="75"/>
      <c r="U46" s="75"/>
      <c r="V46" s="75"/>
      <c r="W46" s="75"/>
      <c r="X46" s="75"/>
      <c r="Y46" s="75"/>
      <c r="Z46" s="75"/>
      <c r="AA46" s="75"/>
      <c r="AB46" s="75"/>
      <c r="AC46" s="75"/>
      <c r="AD46" s="75"/>
    </row>
    <row r="47" spans="1:30" ht="220.5">
      <c r="A47" s="61" t="str">
        <f>IF(AND(G47="",G47=""),"",$D$3&amp;"_"&amp;ROW()-13-COUNTBLANK($G$14:G47))</f>
        <v>JD_27</v>
      </c>
      <c r="B47" s="110"/>
      <c r="C47" s="68" t="s">
        <v>332</v>
      </c>
      <c r="D47" s="68" t="s">
        <v>333</v>
      </c>
      <c r="E47" s="68" t="s">
        <v>334</v>
      </c>
      <c r="F47" s="68" t="s">
        <v>254</v>
      </c>
      <c r="G47" s="68" t="s">
        <v>278</v>
      </c>
      <c r="H47" s="65" t="s">
        <v>74</v>
      </c>
      <c r="I47" s="65" t="s">
        <v>75</v>
      </c>
      <c r="J47" s="65"/>
      <c r="K47" s="65"/>
      <c r="L47" s="65"/>
      <c r="M47" s="66"/>
      <c r="N47" s="67" t="str">
        <f t="shared" si="2"/>
        <v/>
      </c>
      <c r="O47" s="68"/>
      <c r="P47" s="68"/>
      <c r="Q47" s="75"/>
      <c r="R47" s="75"/>
      <c r="S47" s="75"/>
      <c r="T47" s="75"/>
      <c r="U47" s="75"/>
      <c r="V47" s="75"/>
      <c r="W47" s="75"/>
      <c r="X47" s="75"/>
      <c r="Y47" s="75"/>
      <c r="Z47" s="75"/>
      <c r="AA47" s="75"/>
      <c r="AB47" s="75"/>
      <c r="AC47" s="75"/>
      <c r="AD47" s="75"/>
    </row>
    <row r="48" spans="1:30" ht="220.5">
      <c r="A48" s="61" t="str">
        <f>IF(AND(G48="",G48=""),"",$D$3&amp;"_"&amp;ROW()-13-COUNTBLANK($G$14:G48))</f>
        <v>JD_28</v>
      </c>
      <c r="B48" s="110"/>
      <c r="C48" s="68" t="s">
        <v>335</v>
      </c>
      <c r="D48" s="68" t="s">
        <v>336</v>
      </c>
      <c r="E48" s="68" t="s">
        <v>337</v>
      </c>
      <c r="F48" s="68" t="s">
        <v>254</v>
      </c>
      <c r="G48" s="68" t="s">
        <v>338</v>
      </c>
      <c r="H48" s="65" t="s">
        <v>83</v>
      </c>
      <c r="I48" s="65" t="s">
        <v>75</v>
      </c>
      <c r="J48" s="65"/>
      <c r="K48" s="65"/>
      <c r="L48" s="65"/>
      <c r="M48" s="66"/>
      <c r="N48" s="67" t="str">
        <f t="shared" si="2"/>
        <v/>
      </c>
      <c r="O48" s="68"/>
      <c r="P48" s="68"/>
      <c r="Q48" s="75"/>
      <c r="R48" s="75"/>
      <c r="S48" s="75"/>
      <c r="T48" s="75"/>
      <c r="U48" s="75"/>
      <c r="V48" s="75"/>
      <c r="W48" s="75"/>
      <c r="X48" s="75"/>
      <c r="Y48" s="75"/>
      <c r="Z48" s="75"/>
      <c r="AA48" s="75"/>
      <c r="AB48" s="75"/>
      <c r="AC48" s="75"/>
      <c r="AD48" s="75"/>
    </row>
    <row r="49" spans="1:30" ht="220.5">
      <c r="A49" s="61" t="str">
        <f>IF(AND(G49="",G49=""),"",$D$3&amp;"_"&amp;ROW()-13-COUNTBLANK($G$14:G49))</f>
        <v>JD_29</v>
      </c>
      <c r="B49" s="110"/>
      <c r="C49" s="68" t="s">
        <v>339</v>
      </c>
      <c r="D49" s="68" t="s">
        <v>340</v>
      </c>
      <c r="E49" s="68" t="s">
        <v>341</v>
      </c>
      <c r="F49" s="68" t="s">
        <v>254</v>
      </c>
      <c r="G49" s="68" t="s">
        <v>342</v>
      </c>
      <c r="H49" s="65" t="s">
        <v>83</v>
      </c>
      <c r="I49" s="65" t="s">
        <v>75</v>
      </c>
      <c r="J49" s="65"/>
      <c r="K49" s="65"/>
      <c r="L49" s="65"/>
      <c r="M49" s="66"/>
      <c r="N49" s="67" t="str">
        <f t="shared" si="2"/>
        <v/>
      </c>
      <c r="O49" s="68"/>
      <c r="P49" s="68"/>
      <c r="Q49" s="75"/>
      <c r="R49" s="75"/>
      <c r="S49" s="75"/>
      <c r="T49" s="75"/>
      <c r="U49" s="75"/>
      <c r="V49" s="75"/>
      <c r="W49" s="75"/>
      <c r="X49" s="75"/>
      <c r="Y49" s="75"/>
      <c r="Z49" s="75"/>
      <c r="AA49" s="75"/>
      <c r="AB49" s="75"/>
      <c r="AC49" s="75"/>
      <c r="AD49" s="75"/>
    </row>
    <row r="50" spans="1:30" ht="220.5">
      <c r="A50" s="61" t="str">
        <f>IF(AND(G50="",G50=""),"",$D$3&amp;"_"&amp;ROW()-13-COUNTBLANK($G$14:G50))</f>
        <v>JD_30</v>
      </c>
      <c r="B50" s="110"/>
      <c r="C50" s="68" t="s">
        <v>343</v>
      </c>
      <c r="D50" s="68" t="s">
        <v>344</v>
      </c>
      <c r="E50" s="68" t="s">
        <v>345</v>
      </c>
      <c r="F50" s="68" t="s">
        <v>254</v>
      </c>
      <c r="G50" s="68" t="s">
        <v>346</v>
      </c>
      <c r="H50" s="65" t="s">
        <v>83</v>
      </c>
      <c r="I50" s="65" t="s">
        <v>75</v>
      </c>
      <c r="J50" s="65"/>
      <c r="K50" s="65"/>
      <c r="L50" s="65"/>
      <c r="M50" s="66"/>
      <c r="N50" s="67" t="str">
        <f t="shared" si="2"/>
        <v/>
      </c>
      <c r="O50" s="68"/>
      <c r="P50" s="68"/>
      <c r="Q50" s="75"/>
      <c r="R50" s="75"/>
      <c r="S50" s="75"/>
      <c r="T50" s="75"/>
      <c r="U50" s="75"/>
      <c r="V50" s="75"/>
      <c r="W50" s="75"/>
      <c r="X50" s="75"/>
      <c r="Y50" s="75"/>
      <c r="Z50" s="75"/>
      <c r="AA50" s="75"/>
      <c r="AB50" s="75"/>
      <c r="AC50" s="75"/>
      <c r="AD50" s="75"/>
    </row>
    <row r="51" spans="1:30" ht="220.5">
      <c r="A51" s="61" t="str">
        <f>IF(AND(G51="",G51=""),"",$D$3&amp;"_"&amp;ROW()-13-COUNTBLANK($G$14:G51))</f>
        <v>JD_31</v>
      </c>
      <c r="B51" s="110"/>
      <c r="C51" s="68" t="s">
        <v>347</v>
      </c>
      <c r="D51" s="68" t="s">
        <v>348</v>
      </c>
      <c r="E51" s="68" t="s">
        <v>349</v>
      </c>
      <c r="F51" s="68" t="s">
        <v>254</v>
      </c>
      <c r="G51" s="68" t="s">
        <v>350</v>
      </c>
      <c r="H51" s="65" t="s">
        <v>83</v>
      </c>
      <c r="I51" s="65" t="s">
        <v>75</v>
      </c>
      <c r="J51" s="65"/>
      <c r="K51" s="65"/>
      <c r="L51" s="65"/>
      <c r="M51" s="66"/>
      <c r="N51" s="67" t="str">
        <f t="shared" si="2"/>
        <v/>
      </c>
      <c r="O51" s="68"/>
      <c r="P51" s="68"/>
      <c r="Q51" s="75"/>
      <c r="R51" s="75"/>
      <c r="S51" s="75"/>
      <c r="T51" s="75"/>
      <c r="U51" s="75"/>
      <c r="V51" s="75"/>
      <c r="W51" s="75"/>
      <c r="X51" s="75"/>
      <c r="Y51" s="75"/>
      <c r="Z51" s="75"/>
      <c r="AA51" s="75"/>
      <c r="AB51" s="75"/>
      <c r="AC51" s="75"/>
      <c r="AD51" s="75"/>
    </row>
    <row r="52" spans="1:30" ht="220.5">
      <c r="A52" s="61" t="str">
        <f>IF(AND(G52="",G52=""),"",$D$3&amp;"_"&amp;ROW()-13-COUNTBLANK($G$14:G52))</f>
        <v>JD_32</v>
      </c>
      <c r="B52" s="110"/>
      <c r="C52" s="68" t="s">
        <v>351</v>
      </c>
      <c r="D52" s="68" t="s">
        <v>352</v>
      </c>
      <c r="E52" s="68" t="s">
        <v>353</v>
      </c>
      <c r="F52" s="68" t="s">
        <v>254</v>
      </c>
      <c r="G52" s="68" t="s">
        <v>354</v>
      </c>
      <c r="H52" s="65" t="s">
        <v>83</v>
      </c>
      <c r="I52" s="65" t="s">
        <v>75</v>
      </c>
      <c r="J52" s="65"/>
      <c r="K52" s="65"/>
      <c r="L52" s="65"/>
      <c r="M52" s="66"/>
      <c r="N52" s="67" t="str">
        <f t="shared" si="2"/>
        <v/>
      </c>
      <c r="O52" s="68"/>
      <c r="P52" s="68"/>
      <c r="Q52" s="75"/>
      <c r="R52" s="75"/>
      <c r="S52" s="75"/>
      <c r="T52" s="75"/>
      <c r="U52" s="75"/>
      <c r="V52" s="75"/>
      <c r="W52" s="75"/>
      <c r="X52" s="75"/>
      <c r="Y52" s="75"/>
      <c r="Z52" s="75"/>
      <c r="AA52" s="75"/>
      <c r="AB52" s="75"/>
      <c r="AC52" s="75"/>
      <c r="AD52" s="75"/>
    </row>
    <row r="53" spans="1:30" ht="236.25">
      <c r="A53" s="61" t="str">
        <f>IF(AND(G53="",G53=""),"",$D$3&amp;"_"&amp;ROW()-13-COUNTBLANK($G$14:G53))</f>
        <v>JD_33</v>
      </c>
      <c r="B53" s="110"/>
      <c r="C53" s="68" t="s">
        <v>355</v>
      </c>
      <c r="D53" s="68" t="s">
        <v>356</v>
      </c>
      <c r="E53" s="68" t="s">
        <v>357</v>
      </c>
      <c r="F53" s="68" t="s">
        <v>254</v>
      </c>
      <c r="G53" s="68" t="s">
        <v>358</v>
      </c>
      <c r="H53" s="65" t="s">
        <v>83</v>
      </c>
      <c r="I53" s="65" t="s">
        <v>75</v>
      </c>
      <c r="J53" s="65"/>
      <c r="K53" s="65"/>
      <c r="L53" s="65"/>
      <c r="M53" s="66"/>
      <c r="N53" s="67" t="str">
        <f t="shared" si="2"/>
        <v/>
      </c>
      <c r="O53" s="68"/>
      <c r="P53" s="68" t="s">
        <v>359</v>
      </c>
      <c r="Q53" s="75"/>
      <c r="R53" s="75"/>
      <c r="S53" s="75"/>
      <c r="T53" s="75"/>
      <c r="U53" s="75"/>
      <c r="V53" s="75"/>
      <c r="W53" s="75"/>
      <c r="X53" s="75"/>
      <c r="Y53" s="75"/>
      <c r="Z53" s="75"/>
      <c r="AA53" s="75"/>
      <c r="AB53" s="75"/>
      <c r="AC53" s="75"/>
      <c r="AD53" s="75"/>
    </row>
    <row r="54" spans="1:30" ht="220.5">
      <c r="A54" s="61" t="str">
        <f>IF(AND(G54="",G54=""),"",$D$3&amp;"_"&amp;ROW()-13-COUNTBLANK($G$14:G54))</f>
        <v>JD_34</v>
      </c>
      <c r="B54" s="111"/>
      <c r="C54" s="68" t="s">
        <v>360</v>
      </c>
      <c r="D54" s="68" t="s">
        <v>361</v>
      </c>
      <c r="E54" s="68" t="s">
        <v>362</v>
      </c>
      <c r="F54" s="68" t="s">
        <v>254</v>
      </c>
      <c r="G54" s="68" t="s">
        <v>278</v>
      </c>
      <c r="H54" s="65" t="s">
        <v>74</v>
      </c>
      <c r="I54" s="65" t="s">
        <v>75</v>
      </c>
      <c r="J54" s="65"/>
      <c r="K54" s="65"/>
      <c r="L54" s="65"/>
      <c r="M54" s="66"/>
      <c r="N54" s="67" t="str">
        <f t="shared" si="2"/>
        <v/>
      </c>
      <c r="O54" s="68"/>
      <c r="P54" s="68"/>
      <c r="Q54" s="75"/>
      <c r="R54" s="75"/>
      <c r="S54" s="75"/>
      <c r="T54" s="75"/>
      <c r="U54" s="75"/>
      <c r="V54" s="75"/>
      <c r="W54" s="75"/>
      <c r="X54" s="75"/>
      <c r="Y54" s="75"/>
      <c r="Z54" s="75"/>
      <c r="AA54" s="75"/>
      <c r="AB54" s="75"/>
      <c r="AC54" s="75"/>
      <c r="AD54" s="75"/>
    </row>
    <row r="55" spans="1:30" ht="15.75">
      <c r="A55" s="61" t="str">
        <f>IF(AND(G55="",G55=""),"",$D$3&amp;"_"&amp;ROW()-13-COUNTBLANK($G$14:G55))</f>
        <v/>
      </c>
      <c r="B55" s="115" t="s">
        <v>363</v>
      </c>
      <c r="C55" s="102"/>
      <c r="D55" s="102"/>
      <c r="E55" s="102"/>
      <c r="F55" s="102"/>
      <c r="G55" s="102"/>
      <c r="H55" s="102"/>
      <c r="I55" s="102"/>
      <c r="J55" s="102"/>
      <c r="K55" s="102"/>
      <c r="L55" s="102"/>
      <c r="M55" s="102"/>
      <c r="N55" s="102"/>
      <c r="O55" s="102"/>
      <c r="P55" s="103"/>
      <c r="Q55" s="48"/>
      <c r="R55" s="48"/>
      <c r="S55" s="48"/>
      <c r="T55" s="48"/>
      <c r="U55" s="48"/>
      <c r="V55" s="48"/>
      <c r="W55" s="48"/>
      <c r="X55" s="48"/>
      <c r="Y55" s="48"/>
      <c r="Z55" s="48"/>
      <c r="AA55" s="48"/>
      <c r="AB55" s="48"/>
      <c r="AC55" s="48"/>
      <c r="AD55" s="48"/>
    </row>
    <row r="56" spans="1:30" ht="220.5">
      <c r="A56" s="61" t="str">
        <f>IF(AND(G56="",G56=""),"",$D$3&amp;"_"&amp;ROW()-13-COUNTBLANK($G$14:G56))</f>
        <v>JD_35</v>
      </c>
      <c r="B56" s="62" t="s">
        <v>363</v>
      </c>
      <c r="C56" s="68" t="s">
        <v>364</v>
      </c>
      <c r="D56" s="68" t="s">
        <v>252</v>
      </c>
      <c r="E56" s="68" t="s">
        <v>253</v>
      </c>
      <c r="F56" s="68" t="s">
        <v>254</v>
      </c>
      <c r="G56" s="68" t="s">
        <v>255</v>
      </c>
      <c r="H56" s="65" t="s">
        <v>83</v>
      </c>
      <c r="I56" s="65" t="s">
        <v>75</v>
      </c>
      <c r="J56" s="65"/>
      <c r="K56" s="65"/>
      <c r="L56" s="65"/>
      <c r="M56" s="66"/>
      <c r="N56" s="67" t="str">
        <f t="shared" ref="N56:N61" si="3">IF(OR(IF(M56="",IF(L56="",IF(K56="","",K56),L56),M56)="F")=TRUE,"F",IF(OR(IF(M56="",IF(L56="",IF(K56="","",K56),L56),M56)="PE")=TRUE,"PE",IF(AND(IF(M56="",IF(L56="",IF(K56="","",K56),L56),M56)="")=TRUE,"","P")))</f>
        <v/>
      </c>
      <c r="O56" s="68"/>
      <c r="P56" s="68"/>
      <c r="Q56" s="75"/>
      <c r="R56" s="75"/>
      <c r="S56" s="75"/>
      <c r="T56" s="75"/>
      <c r="U56" s="75"/>
      <c r="V56" s="75"/>
      <c r="W56" s="75"/>
      <c r="X56" s="75"/>
      <c r="Y56" s="75"/>
      <c r="Z56" s="75"/>
      <c r="AA56" s="75"/>
      <c r="AB56" s="75"/>
      <c r="AC56" s="75"/>
      <c r="AD56" s="75"/>
    </row>
    <row r="57" spans="1:30" ht="220.5">
      <c r="A57" s="61" t="str">
        <f>IF(AND(G57="",G57=""),"",$D$3&amp;"_"&amp;ROW()-13-COUNTBLANK($G$14:G57))</f>
        <v>JD_36</v>
      </c>
      <c r="B57" s="110"/>
      <c r="C57" s="68" t="s">
        <v>365</v>
      </c>
      <c r="D57" s="68" t="s">
        <v>366</v>
      </c>
      <c r="E57" s="68" t="s">
        <v>367</v>
      </c>
      <c r="F57" s="68" t="s">
        <v>254</v>
      </c>
      <c r="G57" s="68" t="s">
        <v>255</v>
      </c>
      <c r="H57" s="65" t="s">
        <v>83</v>
      </c>
      <c r="I57" s="65" t="s">
        <v>75</v>
      </c>
      <c r="J57" s="65"/>
      <c r="K57" s="65"/>
      <c r="L57" s="65"/>
      <c r="M57" s="66"/>
      <c r="N57" s="67" t="str">
        <f t="shared" si="3"/>
        <v/>
      </c>
      <c r="O57" s="68"/>
      <c r="P57" s="68"/>
      <c r="Q57" s="75"/>
      <c r="R57" s="75"/>
      <c r="S57" s="75"/>
      <c r="T57" s="75"/>
      <c r="U57" s="75"/>
      <c r="V57" s="75"/>
      <c r="W57" s="75"/>
      <c r="X57" s="75"/>
      <c r="Y57" s="75"/>
      <c r="Z57" s="75"/>
      <c r="AA57" s="75"/>
      <c r="AB57" s="75"/>
      <c r="AC57" s="75"/>
      <c r="AD57" s="75"/>
    </row>
    <row r="58" spans="1:30" ht="220.5">
      <c r="A58" s="61" t="str">
        <f>IF(AND(G58="",G58=""),"",$D$3&amp;"_"&amp;ROW()-13-COUNTBLANK($G$14:G58))</f>
        <v>JD_37</v>
      </c>
      <c r="B58" s="110"/>
      <c r="C58" s="68" t="s">
        <v>368</v>
      </c>
      <c r="D58" s="68" t="s">
        <v>369</v>
      </c>
      <c r="E58" s="68" t="s">
        <v>370</v>
      </c>
      <c r="F58" s="68" t="s">
        <v>254</v>
      </c>
      <c r="G58" s="68" t="s">
        <v>278</v>
      </c>
      <c r="H58" s="65" t="s">
        <v>74</v>
      </c>
      <c r="I58" s="65" t="s">
        <v>75</v>
      </c>
      <c r="J58" s="65"/>
      <c r="K58" s="65"/>
      <c r="L58" s="65"/>
      <c r="M58" s="66"/>
      <c r="N58" s="67" t="str">
        <f t="shared" si="3"/>
        <v/>
      </c>
      <c r="O58" s="68"/>
      <c r="P58" s="68"/>
      <c r="Q58" s="75"/>
      <c r="R58" s="75"/>
      <c r="S58" s="75"/>
      <c r="T58" s="75"/>
      <c r="U58" s="75"/>
      <c r="V58" s="75"/>
      <c r="W58" s="75"/>
      <c r="X58" s="75"/>
      <c r="Y58" s="75"/>
      <c r="Z58" s="75"/>
      <c r="AA58" s="75"/>
      <c r="AB58" s="75"/>
      <c r="AC58" s="75"/>
      <c r="AD58" s="75"/>
    </row>
    <row r="59" spans="1:30" ht="236.25">
      <c r="A59" s="61" t="str">
        <f>IF(AND(G59="",G59=""),"",$D$3&amp;"_"&amp;ROW()-13-COUNTBLANK($G$14:G59))</f>
        <v>JD_38</v>
      </c>
      <c r="B59" s="110"/>
      <c r="C59" s="68" t="s">
        <v>371</v>
      </c>
      <c r="D59" s="68" t="s">
        <v>372</v>
      </c>
      <c r="E59" s="68" t="s">
        <v>373</v>
      </c>
      <c r="F59" s="68" t="s">
        <v>254</v>
      </c>
      <c r="G59" s="68" t="s">
        <v>374</v>
      </c>
      <c r="H59" s="65" t="s">
        <v>83</v>
      </c>
      <c r="I59" s="65" t="s">
        <v>75</v>
      </c>
      <c r="J59" s="65"/>
      <c r="K59" s="65"/>
      <c r="L59" s="65"/>
      <c r="M59" s="66"/>
      <c r="N59" s="67" t="str">
        <f t="shared" si="3"/>
        <v/>
      </c>
      <c r="O59" s="68"/>
      <c r="P59" s="68"/>
      <c r="Q59" s="75"/>
      <c r="R59" s="75"/>
      <c r="S59" s="75"/>
      <c r="T59" s="75"/>
      <c r="U59" s="75"/>
      <c r="V59" s="75"/>
      <c r="W59" s="75"/>
      <c r="X59" s="75"/>
      <c r="Y59" s="75"/>
      <c r="Z59" s="75"/>
      <c r="AA59" s="75"/>
      <c r="AB59" s="75"/>
      <c r="AC59" s="75"/>
      <c r="AD59" s="75"/>
    </row>
    <row r="60" spans="1:30" ht="236.25">
      <c r="A60" s="61" t="str">
        <f>IF(AND(G60="",G60=""),"",$D$3&amp;"_"&amp;ROW()-13-COUNTBLANK($G$14:G60))</f>
        <v>JD_39</v>
      </c>
      <c r="B60" s="110"/>
      <c r="C60" s="68" t="s">
        <v>375</v>
      </c>
      <c r="D60" s="68" t="s">
        <v>376</v>
      </c>
      <c r="E60" s="68" t="s">
        <v>377</v>
      </c>
      <c r="F60" s="68" t="s">
        <v>254</v>
      </c>
      <c r="G60" s="68" t="s">
        <v>278</v>
      </c>
      <c r="H60" s="65" t="s">
        <v>74</v>
      </c>
      <c r="I60" s="65" t="s">
        <v>75</v>
      </c>
      <c r="J60" s="65"/>
      <c r="K60" s="65"/>
      <c r="L60" s="65"/>
      <c r="M60" s="66"/>
      <c r="N60" s="67" t="str">
        <f t="shared" si="3"/>
        <v/>
      </c>
      <c r="O60" s="68"/>
      <c r="P60" s="68"/>
      <c r="Q60" s="75"/>
      <c r="R60" s="75"/>
      <c r="S60" s="75"/>
      <c r="T60" s="75"/>
      <c r="U60" s="75"/>
      <c r="V60" s="75"/>
      <c r="W60" s="75"/>
      <c r="X60" s="75"/>
      <c r="Y60" s="75"/>
      <c r="Z60" s="75"/>
      <c r="AA60" s="75"/>
      <c r="AB60" s="75"/>
      <c r="AC60" s="75"/>
      <c r="AD60" s="75"/>
    </row>
    <row r="61" spans="1:30" ht="236.25">
      <c r="A61" s="61" t="str">
        <f>IF(AND(G61="",G61=""),"",$D$3&amp;"_"&amp;ROW()-13-COUNTBLANK($G$14:G61))</f>
        <v>JD_40</v>
      </c>
      <c r="B61" s="111"/>
      <c r="C61" s="68" t="s">
        <v>378</v>
      </c>
      <c r="D61" s="68" t="s">
        <v>379</v>
      </c>
      <c r="E61" s="68" t="s">
        <v>380</v>
      </c>
      <c r="F61" s="68" t="s">
        <v>254</v>
      </c>
      <c r="G61" s="68" t="s">
        <v>278</v>
      </c>
      <c r="H61" s="65" t="s">
        <v>74</v>
      </c>
      <c r="I61" s="65" t="s">
        <v>75</v>
      </c>
      <c r="J61" s="65"/>
      <c r="K61" s="65"/>
      <c r="L61" s="65"/>
      <c r="M61" s="66"/>
      <c r="N61" s="67" t="str">
        <f t="shared" si="3"/>
        <v/>
      </c>
      <c r="O61" s="68"/>
      <c r="P61" s="68"/>
      <c r="Q61" s="75"/>
      <c r="R61" s="75"/>
      <c r="S61" s="75"/>
      <c r="T61" s="75"/>
      <c r="U61" s="75"/>
      <c r="V61" s="75"/>
      <c r="W61" s="75"/>
      <c r="X61" s="75"/>
      <c r="Y61" s="75"/>
      <c r="Z61" s="75"/>
      <c r="AA61" s="75"/>
      <c r="AB61" s="75"/>
      <c r="AC61" s="75"/>
      <c r="AD61" s="75"/>
    </row>
    <row r="62" spans="1:30" ht="15.75">
      <c r="A62" s="61" t="str">
        <f>IF(AND(G62="",G62=""),"",$D$3&amp;"_"&amp;ROW()-13-COUNTBLANK($G$14:G62))</f>
        <v/>
      </c>
      <c r="B62" s="115" t="s">
        <v>381</v>
      </c>
      <c r="C62" s="102"/>
      <c r="D62" s="102"/>
      <c r="E62" s="102"/>
      <c r="F62" s="102"/>
      <c r="G62" s="102"/>
      <c r="H62" s="102"/>
      <c r="I62" s="102"/>
      <c r="J62" s="102"/>
      <c r="K62" s="102"/>
      <c r="L62" s="102"/>
      <c r="M62" s="102"/>
      <c r="N62" s="102"/>
      <c r="O62" s="102"/>
      <c r="P62" s="103"/>
      <c r="Q62" s="48"/>
      <c r="R62" s="48"/>
      <c r="S62" s="48"/>
      <c r="T62" s="48"/>
      <c r="U62" s="48"/>
      <c r="V62" s="48"/>
      <c r="W62" s="48"/>
      <c r="X62" s="48"/>
      <c r="Y62" s="48"/>
      <c r="Z62" s="48"/>
      <c r="AA62" s="48"/>
      <c r="AB62" s="48"/>
      <c r="AC62" s="48"/>
      <c r="AD62" s="48"/>
    </row>
    <row r="63" spans="1:30" ht="220.5">
      <c r="A63" s="61" t="str">
        <f>IF(AND(G63="",G63=""),"",$D$3&amp;"_"&amp;ROW()-13-COUNTBLANK($G$14:G63))</f>
        <v>JD_41</v>
      </c>
      <c r="B63" s="62" t="s">
        <v>381</v>
      </c>
      <c r="C63" s="68" t="s">
        <v>382</v>
      </c>
      <c r="D63" s="68" t="s">
        <v>252</v>
      </c>
      <c r="E63" s="68" t="s">
        <v>253</v>
      </c>
      <c r="F63" s="68" t="s">
        <v>254</v>
      </c>
      <c r="G63" s="68" t="s">
        <v>255</v>
      </c>
      <c r="H63" s="65" t="s">
        <v>83</v>
      </c>
      <c r="I63" s="65" t="s">
        <v>75</v>
      </c>
      <c r="J63" s="65"/>
      <c r="K63" s="65"/>
      <c r="L63" s="65"/>
      <c r="M63" s="66"/>
      <c r="N63" s="67" t="str">
        <f t="shared" ref="N63:N71" si="4">IF(OR(IF(M63="",IF(L63="",IF(K63="","",K63),L63),M63)="F")=TRUE,"F",IF(OR(IF(M63="",IF(L63="",IF(K63="","",K63),L63),M63)="PE")=TRUE,"PE",IF(AND(IF(M63="",IF(L63="",IF(K63="","",K63),L63),M63)="")=TRUE,"","P")))</f>
        <v/>
      </c>
      <c r="O63" s="68"/>
      <c r="P63" s="68"/>
      <c r="Q63" s="75"/>
      <c r="R63" s="75"/>
      <c r="S63" s="75"/>
      <c r="T63" s="75"/>
      <c r="U63" s="75"/>
      <c r="V63" s="75"/>
      <c r="W63" s="75"/>
      <c r="X63" s="75"/>
      <c r="Y63" s="75"/>
      <c r="Z63" s="75"/>
      <c r="AA63" s="75"/>
      <c r="AB63" s="75"/>
      <c r="AC63" s="75"/>
      <c r="AD63" s="75"/>
    </row>
    <row r="64" spans="1:30" ht="220.5">
      <c r="A64" s="61" t="str">
        <f>IF(AND(G64="",G64=""),"",$D$3&amp;"_"&amp;ROW()-13-COUNTBLANK($G$14:G64))</f>
        <v>JD_42</v>
      </c>
      <c r="B64" s="110"/>
      <c r="C64" s="68" t="s">
        <v>383</v>
      </c>
      <c r="D64" s="68" t="s">
        <v>384</v>
      </c>
      <c r="E64" s="68" t="s">
        <v>385</v>
      </c>
      <c r="F64" s="68" t="s">
        <v>254</v>
      </c>
      <c r="G64" s="68" t="s">
        <v>255</v>
      </c>
      <c r="H64" s="65" t="s">
        <v>83</v>
      </c>
      <c r="I64" s="65" t="s">
        <v>75</v>
      </c>
      <c r="J64" s="65"/>
      <c r="K64" s="65"/>
      <c r="L64" s="65"/>
      <c r="M64" s="66"/>
      <c r="N64" s="67" t="str">
        <f t="shared" si="4"/>
        <v/>
      </c>
      <c r="O64" s="68"/>
      <c r="P64" s="68"/>
      <c r="Q64" s="75"/>
      <c r="R64" s="75"/>
      <c r="S64" s="75"/>
      <c r="T64" s="75"/>
      <c r="U64" s="75"/>
      <c r="V64" s="75"/>
      <c r="W64" s="75"/>
      <c r="X64" s="75"/>
      <c r="Y64" s="75"/>
      <c r="Z64" s="75"/>
      <c r="AA64" s="75"/>
      <c r="AB64" s="75"/>
      <c r="AC64" s="75"/>
      <c r="AD64" s="75"/>
    </row>
    <row r="65" spans="1:30" ht="220.5">
      <c r="A65" s="61" t="str">
        <f>IF(AND(G65="",G65=""),"",$D$3&amp;"_"&amp;ROW()-13-COUNTBLANK($G$14:G65))</f>
        <v>JD_43</v>
      </c>
      <c r="B65" s="110"/>
      <c r="C65" s="68" t="s">
        <v>386</v>
      </c>
      <c r="D65" s="68" t="s">
        <v>387</v>
      </c>
      <c r="E65" s="68" t="s">
        <v>388</v>
      </c>
      <c r="F65" s="68" t="s">
        <v>254</v>
      </c>
      <c r="G65" s="68" t="s">
        <v>278</v>
      </c>
      <c r="H65" s="65" t="s">
        <v>74</v>
      </c>
      <c r="I65" s="65" t="s">
        <v>75</v>
      </c>
      <c r="J65" s="65"/>
      <c r="K65" s="65"/>
      <c r="L65" s="65"/>
      <c r="M65" s="66"/>
      <c r="N65" s="67" t="str">
        <f t="shared" si="4"/>
        <v/>
      </c>
      <c r="O65" s="68"/>
      <c r="P65" s="68"/>
      <c r="Q65" s="75"/>
      <c r="R65" s="75"/>
      <c r="S65" s="75"/>
      <c r="T65" s="75"/>
      <c r="U65" s="75"/>
      <c r="V65" s="75"/>
      <c r="W65" s="75"/>
      <c r="X65" s="75"/>
      <c r="Y65" s="75"/>
      <c r="Z65" s="75"/>
      <c r="AA65" s="75"/>
      <c r="AB65" s="75"/>
      <c r="AC65" s="75"/>
      <c r="AD65" s="75"/>
    </row>
    <row r="66" spans="1:30" ht="220.5">
      <c r="A66" s="61" t="str">
        <f>IF(AND(G66="",G66=""),"",$D$3&amp;"_"&amp;ROW()-13-COUNTBLANK($G$14:G66))</f>
        <v>JD_44</v>
      </c>
      <c r="B66" s="110"/>
      <c r="C66" s="68" t="s">
        <v>389</v>
      </c>
      <c r="D66" s="68" t="s">
        <v>390</v>
      </c>
      <c r="E66" s="68" t="s">
        <v>391</v>
      </c>
      <c r="F66" s="68" t="s">
        <v>254</v>
      </c>
      <c r="G66" s="68" t="s">
        <v>392</v>
      </c>
      <c r="H66" s="65" t="s">
        <v>83</v>
      </c>
      <c r="I66" s="65" t="s">
        <v>75</v>
      </c>
      <c r="J66" s="65"/>
      <c r="K66" s="65"/>
      <c r="L66" s="65"/>
      <c r="M66" s="66"/>
      <c r="N66" s="67" t="str">
        <f t="shared" si="4"/>
        <v/>
      </c>
      <c r="O66" s="68"/>
      <c r="P66" s="68"/>
      <c r="Q66" s="75"/>
      <c r="R66" s="75"/>
      <c r="S66" s="75"/>
      <c r="T66" s="75"/>
      <c r="U66" s="75"/>
      <c r="V66" s="75"/>
      <c r="W66" s="75"/>
      <c r="X66" s="75"/>
      <c r="Y66" s="75"/>
      <c r="Z66" s="75"/>
      <c r="AA66" s="75"/>
      <c r="AB66" s="75"/>
      <c r="AC66" s="75"/>
      <c r="AD66" s="75"/>
    </row>
    <row r="67" spans="1:30" ht="220.5">
      <c r="A67" s="61" t="str">
        <f>IF(AND(G67="",G67=""),"",$D$3&amp;"_"&amp;ROW()-13-COUNTBLANK($G$14:G67))</f>
        <v>JD_45</v>
      </c>
      <c r="B67" s="110"/>
      <c r="C67" s="68" t="s">
        <v>393</v>
      </c>
      <c r="D67" s="68" t="s">
        <v>394</v>
      </c>
      <c r="E67" s="68" t="s">
        <v>395</v>
      </c>
      <c r="F67" s="68" t="s">
        <v>254</v>
      </c>
      <c r="G67" s="68" t="s">
        <v>396</v>
      </c>
      <c r="H67" s="65" t="s">
        <v>83</v>
      </c>
      <c r="I67" s="65" t="s">
        <v>75</v>
      </c>
      <c r="J67" s="65"/>
      <c r="K67" s="65"/>
      <c r="L67" s="65"/>
      <c r="M67" s="66"/>
      <c r="N67" s="67" t="str">
        <f t="shared" si="4"/>
        <v/>
      </c>
      <c r="O67" s="68"/>
      <c r="P67" s="68"/>
      <c r="Q67" s="75"/>
      <c r="R67" s="75"/>
      <c r="S67" s="75"/>
      <c r="T67" s="75"/>
      <c r="U67" s="75"/>
      <c r="V67" s="75"/>
      <c r="W67" s="75"/>
      <c r="X67" s="75"/>
      <c r="Y67" s="75"/>
      <c r="Z67" s="75"/>
      <c r="AA67" s="75"/>
      <c r="AB67" s="75"/>
      <c r="AC67" s="75"/>
      <c r="AD67" s="75"/>
    </row>
    <row r="68" spans="1:30" ht="220.5">
      <c r="A68" s="61" t="str">
        <f>IF(AND(G68="",G68=""),"",$D$3&amp;"_"&amp;ROW()-13-COUNTBLANK($G$14:G68))</f>
        <v>JD_46</v>
      </c>
      <c r="B68" s="110"/>
      <c r="C68" s="68" t="s">
        <v>397</v>
      </c>
      <c r="D68" s="68" t="s">
        <v>398</v>
      </c>
      <c r="E68" s="68" t="s">
        <v>399</v>
      </c>
      <c r="F68" s="68" t="s">
        <v>254</v>
      </c>
      <c r="G68" s="68" t="s">
        <v>400</v>
      </c>
      <c r="H68" s="65" t="s">
        <v>83</v>
      </c>
      <c r="I68" s="65" t="s">
        <v>75</v>
      </c>
      <c r="J68" s="65"/>
      <c r="K68" s="65"/>
      <c r="L68" s="65"/>
      <c r="M68" s="66"/>
      <c r="N68" s="67" t="str">
        <f t="shared" si="4"/>
        <v/>
      </c>
      <c r="O68" s="68"/>
      <c r="P68" s="68"/>
      <c r="Q68" s="75"/>
      <c r="R68" s="75"/>
      <c r="S68" s="75"/>
      <c r="T68" s="75"/>
      <c r="U68" s="75"/>
      <c r="V68" s="75"/>
      <c r="W68" s="75"/>
      <c r="X68" s="75"/>
      <c r="Y68" s="75"/>
      <c r="Z68" s="75"/>
      <c r="AA68" s="75"/>
      <c r="AB68" s="75"/>
      <c r="AC68" s="75"/>
      <c r="AD68" s="75"/>
    </row>
    <row r="69" spans="1:30" ht="252">
      <c r="A69" s="61" t="str">
        <f>IF(AND(G69="",G69=""),"",$D$3&amp;"_"&amp;ROW()-13-COUNTBLANK($G$14:G69))</f>
        <v>JD_47</v>
      </c>
      <c r="B69" s="110"/>
      <c r="C69" s="68" t="s">
        <v>401</v>
      </c>
      <c r="D69" s="68" t="s">
        <v>402</v>
      </c>
      <c r="E69" s="68" t="s">
        <v>403</v>
      </c>
      <c r="F69" s="68" t="s">
        <v>254</v>
      </c>
      <c r="G69" s="68" t="s">
        <v>278</v>
      </c>
      <c r="H69" s="65" t="s">
        <v>74</v>
      </c>
      <c r="I69" s="65" t="s">
        <v>75</v>
      </c>
      <c r="J69" s="65"/>
      <c r="K69" s="65"/>
      <c r="L69" s="65"/>
      <c r="M69" s="66"/>
      <c r="N69" s="67" t="str">
        <f t="shared" si="4"/>
        <v/>
      </c>
      <c r="O69" s="68"/>
      <c r="P69" s="68" t="s">
        <v>404</v>
      </c>
      <c r="Q69" s="75"/>
      <c r="R69" s="75"/>
      <c r="S69" s="75"/>
      <c r="T69" s="75"/>
      <c r="U69" s="75"/>
      <c r="V69" s="75"/>
      <c r="W69" s="75"/>
      <c r="X69" s="75"/>
      <c r="Y69" s="75"/>
      <c r="Z69" s="75"/>
      <c r="AA69" s="75"/>
      <c r="AB69" s="75"/>
      <c r="AC69" s="75"/>
      <c r="AD69" s="75"/>
    </row>
    <row r="70" spans="1:30" ht="220.5">
      <c r="A70" s="61" t="str">
        <f>IF(AND(G70="",G70=""),"",$D$3&amp;"_"&amp;ROW()-13-COUNTBLANK($G$14:G70))</f>
        <v>JD_48</v>
      </c>
      <c r="B70" s="110"/>
      <c r="C70" s="68" t="s">
        <v>405</v>
      </c>
      <c r="D70" s="68" t="s">
        <v>406</v>
      </c>
      <c r="E70" s="68" t="s">
        <v>407</v>
      </c>
      <c r="F70" s="68" t="s">
        <v>254</v>
      </c>
      <c r="G70" s="68" t="s">
        <v>278</v>
      </c>
      <c r="H70" s="65" t="s">
        <v>74</v>
      </c>
      <c r="I70" s="65" t="s">
        <v>75</v>
      </c>
      <c r="J70" s="65"/>
      <c r="K70" s="65"/>
      <c r="L70" s="65"/>
      <c r="M70" s="66"/>
      <c r="N70" s="67" t="str">
        <f t="shared" si="4"/>
        <v/>
      </c>
      <c r="O70" s="68"/>
      <c r="P70" s="68"/>
      <c r="Q70" s="75"/>
      <c r="R70" s="75"/>
      <c r="S70" s="75"/>
      <c r="T70" s="75"/>
      <c r="U70" s="75"/>
      <c r="V70" s="75"/>
      <c r="W70" s="75"/>
      <c r="X70" s="75"/>
      <c r="Y70" s="75"/>
      <c r="Z70" s="75"/>
      <c r="AA70" s="75"/>
      <c r="AB70" s="75"/>
      <c r="AC70" s="75"/>
      <c r="AD70" s="75"/>
    </row>
    <row r="71" spans="1:30" ht="220.5">
      <c r="A71" s="61" t="str">
        <f>IF(AND(G71="",G71=""),"",$D$3&amp;"_"&amp;ROW()-13-COUNTBLANK($G$14:G71))</f>
        <v>JD_49</v>
      </c>
      <c r="B71" s="111"/>
      <c r="C71" s="68" t="s">
        <v>408</v>
      </c>
      <c r="D71" s="68" t="s">
        <v>409</v>
      </c>
      <c r="E71" s="68" t="s">
        <v>410</v>
      </c>
      <c r="F71" s="68" t="s">
        <v>254</v>
      </c>
      <c r="G71" s="68" t="s">
        <v>278</v>
      </c>
      <c r="H71" s="65" t="s">
        <v>74</v>
      </c>
      <c r="I71" s="65" t="s">
        <v>75</v>
      </c>
      <c r="J71" s="65"/>
      <c r="K71" s="65"/>
      <c r="L71" s="65"/>
      <c r="M71" s="66"/>
      <c r="N71" s="67" t="str">
        <f t="shared" si="4"/>
        <v/>
      </c>
      <c r="O71" s="68"/>
      <c r="P71" s="68"/>
      <c r="Q71" s="75"/>
      <c r="R71" s="75"/>
      <c r="S71" s="75"/>
      <c r="T71" s="75"/>
      <c r="U71" s="75"/>
      <c r="V71" s="75"/>
      <c r="W71" s="75"/>
      <c r="X71" s="75"/>
      <c r="Y71" s="75"/>
      <c r="Z71" s="75"/>
      <c r="AA71" s="75"/>
      <c r="AB71" s="75"/>
      <c r="AC71" s="75"/>
      <c r="AD71" s="75"/>
    </row>
    <row r="72" spans="1:30" ht="15.75">
      <c r="A72" s="61" t="str">
        <f>IF(AND(G72="",G72=""),"",$D$3&amp;"_"&amp;ROW()-13-COUNTBLANK($G$14:G72))</f>
        <v/>
      </c>
      <c r="B72" s="115" t="s">
        <v>411</v>
      </c>
      <c r="C72" s="102"/>
      <c r="D72" s="102"/>
      <c r="E72" s="102"/>
      <c r="F72" s="102"/>
      <c r="G72" s="102"/>
      <c r="H72" s="102"/>
      <c r="I72" s="102"/>
      <c r="J72" s="102"/>
      <c r="K72" s="102"/>
      <c r="L72" s="102"/>
      <c r="M72" s="102"/>
      <c r="N72" s="102"/>
      <c r="O72" s="102"/>
      <c r="P72" s="103"/>
      <c r="Q72" s="48"/>
      <c r="R72" s="48"/>
      <c r="S72" s="48"/>
      <c r="T72" s="48"/>
      <c r="U72" s="48"/>
      <c r="V72" s="48"/>
      <c r="W72" s="48"/>
      <c r="X72" s="48"/>
      <c r="Y72" s="48"/>
      <c r="Z72" s="48"/>
      <c r="AA72" s="48"/>
      <c r="AB72" s="48"/>
      <c r="AC72" s="48"/>
      <c r="AD72" s="48"/>
    </row>
    <row r="73" spans="1:30" ht="220.5">
      <c r="A73" s="61" t="str">
        <f>IF(AND(G73="",G73=""),"",$D$3&amp;"_"&amp;ROW()-13-COUNTBLANK($G$14:G73))</f>
        <v>JD_50</v>
      </c>
      <c r="B73" s="62" t="s">
        <v>411</v>
      </c>
      <c r="C73" s="68" t="s">
        <v>412</v>
      </c>
      <c r="D73" s="68" t="s">
        <v>252</v>
      </c>
      <c r="E73" s="68" t="s">
        <v>253</v>
      </c>
      <c r="F73" s="68" t="s">
        <v>254</v>
      </c>
      <c r="G73" s="68" t="s">
        <v>255</v>
      </c>
      <c r="H73" s="65" t="s">
        <v>83</v>
      </c>
      <c r="I73" s="65" t="s">
        <v>75</v>
      </c>
      <c r="J73" s="65"/>
      <c r="K73" s="65"/>
      <c r="L73" s="65"/>
      <c r="M73" s="66"/>
      <c r="N73" s="67" t="str">
        <f t="shared" ref="N73:N82" si="5">IF(OR(IF(M73="",IF(L73="",IF(K73="","",K73),L73),M73)="F")=TRUE,"F",IF(OR(IF(M73="",IF(L73="",IF(K73="","",K73),L73),M73)="PE")=TRUE,"PE",IF(AND(IF(M73="",IF(L73="",IF(K73="","",K73),L73),M73)="")=TRUE,"","P")))</f>
        <v/>
      </c>
      <c r="O73" s="68"/>
      <c r="P73" s="68"/>
      <c r="Q73" s="75"/>
      <c r="R73" s="75"/>
      <c r="S73" s="75"/>
      <c r="T73" s="75"/>
      <c r="U73" s="75"/>
      <c r="V73" s="75"/>
      <c r="W73" s="75"/>
      <c r="X73" s="75"/>
      <c r="Y73" s="75"/>
      <c r="Z73" s="75"/>
      <c r="AA73" s="75"/>
      <c r="AB73" s="75"/>
      <c r="AC73" s="75"/>
      <c r="AD73" s="75"/>
    </row>
    <row r="74" spans="1:30" ht="220.5">
      <c r="A74" s="61" t="str">
        <f>IF(AND(G74="",G74=""),"",$D$3&amp;"_"&amp;ROW()-13-COUNTBLANK($G$14:G74))</f>
        <v>JD_51</v>
      </c>
      <c r="B74" s="110"/>
      <c r="C74" s="68" t="s">
        <v>413</v>
      </c>
      <c r="D74" s="68" t="s">
        <v>414</v>
      </c>
      <c r="E74" s="68" t="s">
        <v>415</v>
      </c>
      <c r="F74" s="68" t="s">
        <v>254</v>
      </c>
      <c r="G74" s="68" t="s">
        <v>255</v>
      </c>
      <c r="H74" s="65" t="s">
        <v>83</v>
      </c>
      <c r="I74" s="65" t="s">
        <v>75</v>
      </c>
      <c r="J74" s="65"/>
      <c r="K74" s="65"/>
      <c r="L74" s="65"/>
      <c r="M74" s="66"/>
      <c r="N74" s="67" t="str">
        <f t="shared" si="5"/>
        <v/>
      </c>
      <c r="O74" s="68"/>
      <c r="P74" s="68"/>
      <c r="Q74" s="75"/>
      <c r="R74" s="75"/>
      <c r="S74" s="75"/>
      <c r="T74" s="75"/>
      <c r="U74" s="75"/>
      <c r="V74" s="75"/>
      <c r="W74" s="75"/>
      <c r="X74" s="75"/>
      <c r="Y74" s="75"/>
      <c r="Z74" s="75"/>
      <c r="AA74" s="75"/>
      <c r="AB74" s="75"/>
      <c r="AC74" s="75"/>
      <c r="AD74" s="75"/>
    </row>
    <row r="75" spans="1:30" ht="220.5">
      <c r="A75" s="61" t="str">
        <f>IF(AND(G75="",G75=""),"",$D$3&amp;"_"&amp;ROW()-13-COUNTBLANK($G$14:G75))</f>
        <v>JD_52</v>
      </c>
      <c r="B75" s="110"/>
      <c r="C75" s="68" t="s">
        <v>416</v>
      </c>
      <c r="D75" s="68" t="s">
        <v>417</v>
      </c>
      <c r="E75" s="68" t="s">
        <v>418</v>
      </c>
      <c r="F75" s="68" t="s">
        <v>254</v>
      </c>
      <c r="G75" s="68" t="s">
        <v>278</v>
      </c>
      <c r="H75" s="65" t="s">
        <v>74</v>
      </c>
      <c r="I75" s="65" t="s">
        <v>75</v>
      </c>
      <c r="J75" s="65"/>
      <c r="K75" s="65"/>
      <c r="L75" s="65"/>
      <c r="M75" s="66"/>
      <c r="N75" s="67" t="str">
        <f t="shared" si="5"/>
        <v/>
      </c>
      <c r="O75" s="68"/>
      <c r="P75" s="68"/>
      <c r="Q75" s="75"/>
      <c r="R75" s="75"/>
      <c r="S75" s="75"/>
      <c r="T75" s="75"/>
      <c r="U75" s="75"/>
      <c r="V75" s="75"/>
      <c r="W75" s="75"/>
      <c r="X75" s="75"/>
      <c r="Y75" s="75"/>
      <c r="Z75" s="75"/>
      <c r="AA75" s="75"/>
      <c r="AB75" s="75"/>
      <c r="AC75" s="75"/>
      <c r="AD75" s="75"/>
    </row>
    <row r="76" spans="1:30" ht="236.25">
      <c r="A76" s="61" t="str">
        <f>IF(AND(G76="",G76=""),"",$D$3&amp;"_"&amp;ROW()-13-COUNTBLANK($G$14:G76))</f>
        <v>JD_53</v>
      </c>
      <c r="B76" s="110"/>
      <c r="C76" s="68" t="s">
        <v>419</v>
      </c>
      <c r="D76" s="68" t="s">
        <v>420</v>
      </c>
      <c r="E76" s="68" t="s">
        <v>421</v>
      </c>
      <c r="F76" s="68" t="s">
        <v>254</v>
      </c>
      <c r="G76" s="68" t="s">
        <v>422</v>
      </c>
      <c r="H76" s="65" t="s">
        <v>83</v>
      </c>
      <c r="I76" s="65" t="s">
        <v>75</v>
      </c>
      <c r="J76" s="65"/>
      <c r="K76" s="65"/>
      <c r="L76" s="65"/>
      <c r="M76" s="66"/>
      <c r="N76" s="67" t="str">
        <f t="shared" si="5"/>
        <v/>
      </c>
      <c r="O76" s="68"/>
      <c r="P76" s="68"/>
      <c r="Q76" s="75"/>
      <c r="R76" s="75"/>
      <c r="S76" s="75"/>
      <c r="T76" s="75"/>
      <c r="U76" s="75"/>
      <c r="V76" s="75"/>
      <c r="W76" s="75"/>
      <c r="X76" s="75"/>
      <c r="Y76" s="75"/>
      <c r="Z76" s="75"/>
      <c r="AA76" s="75"/>
      <c r="AB76" s="75"/>
      <c r="AC76" s="75"/>
      <c r="AD76" s="75"/>
    </row>
    <row r="77" spans="1:30" ht="236.25">
      <c r="A77" s="61" t="str">
        <f>IF(AND(G77="",G77=""),"",$D$3&amp;"_"&amp;ROW()-13-COUNTBLANK($G$14:G77))</f>
        <v>JD_54</v>
      </c>
      <c r="B77" s="110"/>
      <c r="C77" s="68" t="s">
        <v>423</v>
      </c>
      <c r="D77" s="68" t="s">
        <v>424</v>
      </c>
      <c r="E77" s="68" t="s">
        <v>425</v>
      </c>
      <c r="F77" s="68" t="s">
        <v>254</v>
      </c>
      <c r="G77" s="68" t="s">
        <v>426</v>
      </c>
      <c r="H77" s="65" t="s">
        <v>83</v>
      </c>
      <c r="I77" s="65" t="s">
        <v>75</v>
      </c>
      <c r="J77" s="65"/>
      <c r="K77" s="65"/>
      <c r="L77" s="65"/>
      <c r="M77" s="66"/>
      <c r="N77" s="67" t="str">
        <f t="shared" si="5"/>
        <v/>
      </c>
      <c r="O77" s="68"/>
      <c r="P77" s="68"/>
      <c r="Q77" s="75"/>
      <c r="R77" s="75"/>
      <c r="S77" s="75"/>
      <c r="T77" s="75"/>
      <c r="U77" s="75"/>
      <c r="V77" s="75"/>
      <c r="W77" s="75"/>
      <c r="X77" s="75"/>
      <c r="Y77" s="75"/>
      <c r="Z77" s="75"/>
      <c r="AA77" s="75"/>
      <c r="AB77" s="75"/>
      <c r="AC77" s="75"/>
      <c r="AD77" s="75"/>
    </row>
    <row r="78" spans="1:30" ht="220.5">
      <c r="A78" s="61" t="str">
        <f>IF(AND(G78="",G78=""),"",$D$3&amp;"_"&amp;ROW()-13-COUNTBLANK($G$14:G78))</f>
        <v>JD_55</v>
      </c>
      <c r="B78" s="110"/>
      <c r="C78" s="68" t="s">
        <v>427</v>
      </c>
      <c r="D78" s="68" t="s">
        <v>428</v>
      </c>
      <c r="E78" s="68" t="s">
        <v>429</v>
      </c>
      <c r="F78" s="68" t="s">
        <v>254</v>
      </c>
      <c r="G78" s="68" t="s">
        <v>278</v>
      </c>
      <c r="H78" s="65" t="s">
        <v>74</v>
      </c>
      <c r="I78" s="65" t="s">
        <v>75</v>
      </c>
      <c r="J78" s="65"/>
      <c r="K78" s="65"/>
      <c r="L78" s="65"/>
      <c r="M78" s="66"/>
      <c r="N78" s="67" t="str">
        <f t="shared" si="5"/>
        <v/>
      </c>
      <c r="O78" s="68"/>
      <c r="P78" s="68"/>
      <c r="Q78" s="75"/>
      <c r="R78" s="75"/>
      <c r="S78" s="75"/>
      <c r="T78" s="75"/>
      <c r="U78" s="75"/>
      <c r="V78" s="75"/>
      <c r="W78" s="75"/>
      <c r="X78" s="75"/>
      <c r="Y78" s="75"/>
      <c r="Z78" s="75"/>
      <c r="AA78" s="75"/>
      <c r="AB78" s="75"/>
      <c r="AC78" s="75"/>
      <c r="AD78" s="75"/>
    </row>
    <row r="79" spans="1:30" ht="220.5">
      <c r="A79" s="61" t="str">
        <f>IF(AND(G79="",G79=""),"",$D$3&amp;"_"&amp;ROW()-13-COUNTBLANK($G$14:G79))</f>
        <v>JD_56</v>
      </c>
      <c r="B79" s="110"/>
      <c r="C79" s="68" t="s">
        <v>430</v>
      </c>
      <c r="D79" s="68" t="s">
        <v>431</v>
      </c>
      <c r="E79" s="68" t="s">
        <v>432</v>
      </c>
      <c r="F79" s="68" t="s">
        <v>254</v>
      </c>
      <c r="G79" s="68" t="s">
        <v>278</v>
      </c>
      <c r="H79" s="65" t="s">
        <v>74</v>
      </c>
      <c r="I79" s="65" t="s">
        <v>75</v>
      </c>
      <c r="J79" s="65"/>
      <c r="K79" s="65"/>
      <c r="L79" s="65"/>
      <c r="M79" s="66"/>
      <c r="N79" s="67" t="str">
        <f t="shared" si="5"/>
        <v/>
      </c>
      <c r="O79" s="68"/>
      <c r="P79" s="68"/>
      <c r="Q79" s="75"/>
      <c r="R79" s="75"/>
      <c r="S79" s="75"/>
      <c r="T79" s="75"/>
      <c r="U79" s="75"/>
      <c r="V79" s="75"/>
      <c r="W79" s="75"/>
      <c r="X79" s="75"/>
      <c r="Y79" s="75"/>
      <c r="Z79" s="75"/>
      <c r="AA79" s="75"/>
      <c r="AB79" s="75"/>
      <c r="AC79" s="75"/>
      <c r="AD79" s="75"/>
    </row>
    <row r="80" spans="1:30" ht="236.25">
      <c r="A80" s="61" t="str">
        <f>IF(AND(G80="",G80=""),"",$D$3&amp;"_"&amp;ROW()-13-COUNTBLANK($G$14:G80))</f>
        <v>JD_57</v>
      </c>
      <c r="B80" s="110"/>
      <c r="C80" s="68" t="s">
        <v>433</v>
      </c>
      <c r="D80" s="68" t="s">
        <v>434</v>
      </c>
      <c r="E80" s="68" t="s">
        <v>435</v>
      </c>
      <c r="F80" s="68" t="s">
        <v>254</v>
      </c>
      <c r="G80" s="68" t="s">
        <v>278</v>
      </c>
      <c r="H80" s="65" t="s">
        <v>74</v>
      </c>
      <c r="I80" s="65" t="s">
        <v>75</v>
      </c>
      <c r="J80" s="65"/>
      <c r="K80" s="65"/>
      <c r="L80" s="65"/>
      <c r="M80" s="66"/>
      <c r="N80" s="67" t="str">
        <f t="shared" si="5"/>
        <v/>
      </c>
      <c r="O80" s="68"/>
      <c r="P80" s="68"/>
      <c r="Q80" s="75"/>
      <c r="R80" s="75"/>
      <c r="S80" s="75"/>
      <c r="T80" s="75"/>
      <c r="U80" s="75"/>
      <c r="V80" s="75"/>
      <c r="W80" s="75"/>
      <c r="X80" s="75"/>
      <c r="Y80" s="75"/>
      <c r="Z80" s="75"/>
      <c r="AA80" s="75"/>
      <c r="AB80" s="75"/>
      <c r="AC80" s="75"/>
      <c r="AD80" s="75"/>
    </row>
    <row r="81" spans="1:30" ht="236.25">
      <c r="A81" s="61" t="str">
        <f>IF(AND(G81="",G81=""),"",$D$3&amp;"_"&amp;ROW()-13-COUNTBLANK($G$14:G81))</f>
        <v>JD_58</v>
      </c>
      <c r="B81" s="110"/>
      <c r="C81" s="68" t="s">
        <v>436</v>
      </c>
      <c r="D81" s="68" t="s">
        <v>437</v>
      </c>
      <c r="E81" s="68" t="s">
        <v>438</v>
      </c>
      <c r="F81" s="68" t="s">
        <v>254</v>
      </c>
      <c r="G81" s="68" t="s">
        <v>278</v>
      </c>
      <c r="H81" s="65" t="s">
        <v>74</v>
      </c>
      <c r="I81" s="65" t="s">
        <v>75</v>
      </c>
      <c r="J81" s="65"/>
      <c r="K81" s="65"/>
      <c r="L81" s="65"/>
      <c r="M81" s="66"/>
      <c r="N81" s="67" t="str">
        <f t="shared" si="5"/>
        <v/>
      </c>
      <c r="O81" s="68"/>
      <c r="P81" s="68"/>
      <c r="Q81" s="75"/>
      <c r="R81" s="75"/>
      <c r="S81" s="75"/>
      <c r="T81" s="75"/>
      <c r="U81" s="75"/>
      <c r="V81" s="75"/>
      <c r="W81" s="75"/>
      <c r="X81" s="75"/>
      <c r="Y81" s="75"/>
      <c r="Z81" s="75"/>
      <c r="AA81" s="75"/>
      <c r="AB81" s="75"/>
      <c r="AC81" s="75"/>
      <c r="AD81" s="75"/>
    </row>
    <row r="82" spans="1:30" ht="236.25">
      <c r="A82" s="61" t="str">
        <f>IF(AND(G82="",G82=""),"",$D$3&amp;"_"&amp;ROW()-13-COUNTBLANK($G$14:G82))</f>
        <v>JD_59</v>
      </c>
      <c r="B82" s="111"/>
      <c r="C82" s="68" t="s">
        <v>439</v>
      </c>
      <c r="D82" s="68" t="s">
        <v>440</v>
      </c>
      <c r="E82" s="68" t="s">
        <v>441</v>
      </c>
      <c r="F82" s="68" t="s">
        <v>254</v>
      </c>
      <c r="G82" s="68" t="s">
        <v>278</v>
      </c>
      <c r="H82" s="65" t="s">
        <v>74</v>
      </c>
      <c r="I82" s="65" t="s">
        <v>75</v>
      </c>
      <c r="J82" s="65"/>
      <c r="K82" s="65"/>
      <c r="L82" s="65"/>
      <c r="M82" s="66"/>
      <c r="N82" s="67" t="str">
        <f t="shared" si="5"/>
        <v/>
      </c>
      <c r="O82" s="68"/>
      <c r="P82" s="68"/>
      <c r="Q82" s="75"/>
      <c r="R82" s="75"/>
      <c r="S82" s="75"/>
      <c r="T82" s="75"/>
      <c r="U82" s="75"/>
      <c r="V82" s="75"/>
      <c r="W82" s="75"/>
      <c r="X82" s="75"/>
      <c r="Y82" s="75"/>
      <c r="Z82" s="75"/>
      <c r="AA82" s="75"/>
      <c r="AB82" s="75"/>
      <c r="AC82" s="75"/>
      <c r="AD82" s="75"/>
    </row>
    <row r="83" spans="1:30" ht="15.75">
      <c r="A83" s="61" t="str">
        <f>IF(AND(G83="",G83=""),"",$D$3&amp;"_"&amp;ROW()-13-COUNTBLANK($G$14:G83))</f>
        <v/>
      </c>
      <c r="B83" s="115" t="s">
        <v>442</v>
      </c>
      <c r="C83" s="102"/>
      <c r="D83" s="102"/>
      <c r="E83" s="102"/>
      <c r="F83" s="102"/>
      <c r="G83" s="102"/>
      <c r="H83" s="102"/>
      <c r="I83" s="102"/>
      <c r="J83" s="102"/>
      <c r="K83" s="102"/>
      <c r="L83" s="102"/>
      <c r="M83" s="102"/>
      <c r="N83" s="102"/>
      <c r="O83" s="102"/>
      <c r="P83" s="103"/>
      <c r="Q83" s="48"/>
      <c r="R83" s="48"/>
      <c r="S83" s="48"/>
      <c r="T83" s="48"/>
      <c r="U83" s="48"/>
      <c r="V83" s="48"/>
      <c r="W83" s="48"/>
      <c r="X83" s="48"/>
      <c r="Y83" s="48"/>
      <c r="Z83" s="48"/>
      <c r="AA83" s="48"/>
      <c r="AB83" s="48"/>
      <c r="AC83" s="48"/>
      <c r="AD83" s="48"/>
    </row>
    <row r="84" spans="1:30" ht="220.5">
      <c r="A84" s="61" t="str">
        <f>IF(AND(G84="",G84=""),"",$D$3&amp;"_"&amp;ROW()-13-COUNTBLANK($G$14:G84))</f>
        <v>JD_60</v>
      </c>
      <c r="B84" s="62" t="s">
        <v>442</v>
      </c>
      <c r="C84" s="68" t="s">
        <v>443</v>
      </c>
      <c r="D84" s="68" t="s">
        <v>252</v>
      </c>
      <c r="E84" s="68" t="s">
        <v>253</v>
      </c>
      <c r="F84" s="68" t="s">
        <v>254</v>
      </c>
      <c r="G84" s="68" t="s">
        <v>255</v>
      </c>
      <c r="H84" s="65" t="s">
        <v>83</v>
      </c>
      <c r="I84" s="65" t="s">
        <v>75</v>
      </c>
      <c r="J84" s="65"/>
      <c r="K84" s="65"/>
      <c r="L84" s="65"/>
      <c r="M84" s="66"/>
      <c r="N84" s="67" t="str">
        <f t="shared" ref="N84:N93" si="6">IF(OR(IF(M84="",IF(L84="",IF(K84="","",K84),L84),M84)="F")=TRUE,"F",IF(OR(IF(M84="",IF(L84="",IF(K84="","",K84),L84),M84)="PE")=TRUE,"PE",IF(AND(IF(M84="",IF(L84="",IF(K84="","",K84),L84),M84)="")=TRUE,"","P")))</f>
        <v/>
      </c>
      <c r="O84" s="68"/>
      <c r="P84" s="68"/>
      <c r="Q84" s="75"/>
      <c r="R84" s="75"/>
      <c r="S84" s="75"/>
      <c r="T84" s="75"/>
      <c r="U84" s="75"/>
      <c r="V84" s="75"/>
      <c r="W84" s="75"/>
      <c r="X84" s="75"/>
      <c r="Y84" s="75"/>
      <c r="Z84" s="75"/>
      <c r="AA84" s="75"/>
      <c r="AB84" s="75"/>
      <c r="AC84" s="75"/>
      <c r="AD84" s="75"/>
    </row>
    <row r="85" spans="1:30" ht="220.5">
      <c r="A85" s="61" t="str">
        <f>IF(AND(G85="",G85=""),"",$D$3&amp;"_"&amp;ROW()-13-COUNTBLANK($G$14:G85))</f>
        <v>JD_61</v>
      </c>
      <c r="B85" s="110"/>
      <c r="C85" s="68" t="s">
        <v>444</v>
      </c>
      <c r="D85" s="68" t="s">
        <v>445</v>
      </c>
      <c r="E85" s="68" t="s">
        <v>446</v>
      </c>
      <c r="F85" s="68" t="s">
        <v>254</v>
      </c>
      <c r="G85" s="68" t="s">
        <v>255</v>
      </c>
      <c r="H85" s="65" t="s">
        <v>83</v>
      </c>
      <c r="I85" s="65" t="s">
        <v>75</v>
      </c>
      <c r="J85" s="65"/>
      <c r="K85" s="65"/>
      <c r="L85" s="65"/>
      <c r="M85" s="66"/>
      <c r="N85" s="67" t="str">
        <f t="shared" si="6"/>
        <v/>
      </c>
      <c r="O85" s="68"/>
      <c r="P85" s="68"/>
      <c r="Q85" s="75"/>
      <c r="R85" s="75"/>
      <c r="S85" s="75"/>
      <c r="T85" s="75"/>
      <c r="U85" s="75"/>
      <c r="V85" s="75"/>
      <c r="W85" s="75"/>
      <c r="X85" s="75"/>
      <c r="Y85" s="75"/>
      <c r="Z85" s="75"/>
      <c r="AA85" s="75"/>
      <c r="AB85" s="75"/>
      <c r="AC85" s="75"/>
      <c r="AD85" s="75"/>
    </row>
    <row r="86" spans="1:30" ht="220.5">
      <c r="A86" s="61" t="str">
        <f>IF(AND(G86="",G86=""),"",$D$3&amp;"_"&amp;ROW()-13-COUNTBLANK($G$14:G86))</f>
        <v>JD_62</v>
      </c>
      <c r="B86" s="110"/>
      <c r="C86" s="68" t="s">
        <v>447</v>
      </c>
      <c r="D86" s="68" t="s">
        <v>448</v>
      </c>
      <c r="E86" s="68" t="s">
        <v>449</v>
      </c>
      <c r="F86" s="68" t="s">
        <v>254</v>
      </c>
      <c r="G86" s="68" t="s">
        <v>278</v>
      </c>
      <c r="H86" s="65" t="s">
        <v>74</v>
      </c>
      <c r="I86" s="65" t="s">
        <v>75</v>
      </c>
      <c r="J86" s="65"/>
      <c r="K86" s="65"/>
      <c r="L86" s="65"/>
      <c r="M86" s="66"/>
      <c r="N86" s="67" t="str">
        <f t="shared" si="6"/>
        <v/>
      </c>
      <c r="O86" s="68"/>
      <c r="P86" s="68"/>
      <c r="Q86" s="75"/>
      <c r="R86" s="75"/>
      <c r="S86" s="75"/>
      <c r="T86" s="75"/>
      <c r="U86" s="75"/>
      <c r="V86" s="75"/>
      <c r="W86" s="75"/>
      <c r="X86" s="75"/>
      <c r="Y86" s="75"/>
      <c r="Z86" s="75"/>
      <c r="AA86" s="75"/>
      <c r="AB86" s="75"/>
      <c r="AC86" s="75"/>
      <c r="AD86" s="75"/>
    </row>
    <row r="87" spans="1:30" ht="220.5">
      <c r="A87" s="61" t="str">
        <f>IF(AND(G87="",G87=""),"",$D$3&amp;"_"&amp;ROW()-13-COUNTBLANK($G$14:G87))</f>
        <v>JD_63</v>
      </c>
      <c r="B87" s="110"/>
      <c r="C87" s="68" t="s">
        <v>450</v>
      </c>
      <c r="D87" s="68" t="s">
        <v>451</v>
      </c>
      <c r="E87" s="68" t="s">
        <v>452</v>
      </c>
      <c r="F87" s="68" t="s">
        <v>254</v>
      </c>
      <c r="G87" s="68" t="s">
        <v>453</v>
      </c>
      <c r="H87" s="65" t="s">
        <v>83</v>
      </c>
      <c r="I87" s="65" t="s">
        <v>75</v>
      </c>
      <c r="J87" s="65"/>
      <c r="K87" s="65"/>
      <c r="L87" s="65"/>
      <c r="M87" s="66"/>
      <c r="N87" s="67" t="str">
        <f t="shared" si="6"/>
        <v/>
      </c>
      <c r="O87" s="68"/>
      <c r="P87" s="68"/>
      <c r="Q87" s="75"/>
      <c r="R87" s="75"/>
      <c r="S87" s="75"/>
      <c r="T87" s="75"/>
      <c r="U87" s="75"/>
      <c r="V87" s="75"/>
      <c r="W87" s="75"/>
      <c r="X87" s="75"/>
      <c r="Y87" s="75"/>
      <c r="Z87" s="75"/>
      <c r="AA87" s="75"/>
      <c r="AB87" s="75"/>
      <c r="AC87" s="75"/>
      <c r="AD87" s="75"/>
    </row>
    <row r="88" spans="1:30" ht="220.5">
      <c r="A88" s="61" t="str">
        <f>IF(AND(G88="",G88=""),"",$D$3&amp;"_"&amp;ROW()-13-COUNTBLANK($G$14:G88))</f>
        <v>JD_64</v>
      </c>
      <c r="B88" s="110"/>
      <c r="C88" s="68" t="s">
        <v>454</v>
      </c>
      <c r="D88" s="68" t="s">
        <v>455</v>
      </c>
      <c r="E88" s="68" t="s">
        <v>456</v>
      </c>
      <c r="F88" s="68" t="s">
        <v>254</v>
      </c>
      <c r="G88" s="68" t="s">
        <v>457</v>
      </c>
      <c r="H88" s="65" t="s">
        <v>83</v>
      </c>
      <c r="I88" s="65" t="s">
        <v>75</v>
      </c>
      <c r="J88" s="65"/>
      <c r="K88" s="65"/>
      <c r="L88" s="65"/>
      <c r="M88" s="66"/>
      <c r="N88" s="67" t="str">
        <f t="shared" si="6"/>
        <v/>
      </c>
      <c r="O88" s="68"/>
      <c r="P88" s="68"/>
      <c r="Q88" s="75"/>
      <c r="R88" s="75"/>
      <c r="S88" s="75"/>
      <c r="T88" s="75"/>
      <c r="U88" s="75"/>
      <c r="V88" s="75"/>
      <c r="W88" s="75"/>
      <c r="X88" s="75"/>
      <c r="Y88" s="75"/>
      <c r="Z88" s="75"/>
      <c r="AA88" s="75"/>
      <c r="AB88" s="75"/>
      <c r="AC88" s="75"/>
      <c r="AD88" s="75"/>
    </row>
    <row r="89" spans="1:30" ht="220.5">
      <c r="A89" s="61" t="str">
        <f>IF(AND(G89="",G89=""),"",$D$3&amp;"_"&amp;ROW()-13-COUNTBLANK($G$14:G89))</f>
        <v>JD_65</v>
      </c>
      <c r="B89" s="110"/>
      <c r="C89" s="68" t="s">
        <v>458</v>
      </c>
      <c r="D89" s="68" t="s">
        <v>459</v>
      </c>
      <c r="E89" s="68" t="s">
        <v>460</v>
      </c>
      <c r="F89" s="68" t="s">
        <v>254</v>
      </c>
      <c r="G89" s="68" t="s">
        <v>461</v>
      </c>
      <c r="H89" s="65" t="s">
        <v>83</v>
      </c>
      <c r="I89" s="65" t="s">
        <v>75</v>
      </c>
      <c r="J89" s="65"/>
      <c r="K89" s="65"/>
      <c r="L89" s="65"/>
      <c r="M89" s="66"/>
      <c r="N89" s="67" t="str">
        <f t="shared" si="6"/>
        <v/>
      </c>
      <c r="O89" s="68"/>
      <c r="P89" s="68"/>
      <c r="Q89" s="75"/>
      <c r="R89" s="75"/>
      <c r="S89" s="75"/>
      <c r="T89" s="75"/>
      <c r="U89" s="75"/>
      <c r="V89" s="75"/>
      <c r="W89" s="75"/>
      <c r="X89" s="75"/>
      <c r="Y89" s="75"/>
      <c r="Z89" s="75"/>
      <c r="AA89" s="75"/>
      <c r="AB89" s="75"/>
      <c r="AC89" s="75"/>
      <c r="AD89" s="75"/>
    </row>
    <row r="90" spans="1:30" ht="220.5">
      <c r="A90" s="61" t="str">
        <f>IF(AND(G90="",G90=""),"",$D$3&amp;"_"&amp;ROW()-13-COUNTBLANK($G$14:G90))</f>
        <v>JD_66</v>
      </c>
      <c r="B90" s="110"/>
      <c r="C90" s="68" t="s">
        <v>462</v>
      </c>
      <c r="D90" s="68" t="s">
        <v>463</v>
      </c>
      <c r="E90" s="68" t="s">
        <v>464</v>
      </c>
      <c r="F90" s="68" t="s">
        <v>254</v>
      </c>
      <c r="G90" s="68" t="s">
        <v>465</v>
      </c>
      <c r="H90" s="65" t="s">
        <v>83</v>
      </c>
      <c r="I90" s="65" t="s">
        <v>75</v>
      </c>
      <c r="J90" s="65"/>
      <c r="K90" s="65"/>
      <c r="L90" s="65"/>
      <c r="M90" s="66"/>
      <c r="N90" s="67" t="str">
        <f t="shared" si="6"/>
        <v/>
      </c>
      <c r="O90" s="68"/>
      <c r="P90" s="68"/>
      <c r="Q90" s="75"/>
      <c r="R90" s="75"/>
      <c r="S90" s="75"/>
      <c r="T90" s="75"/>
      <c r="U90" s="75"/>
      <c r="V90" s="75"/>
      <c r="W90" s="75"/>
      <c r="X90" s="75"/>
      <c r="Y90" s="75"/>
      <c r="Z90" s="75"/>
      <c r="AA90" s="75"/>
      <c r="AB90" s="75"/>
      <c r="AC90" s="75"/>
      <c r="AD90" s="75"/>
    </row>
    <row r="91" spans="1:30" ht="220.5">
      <c r="A91" s="61" t="str">
        <f>IF(AND(G91="",G91=""),"",$D$3&amp;"_"&amp;ROW()-13-COUNTBLANK($G$14:G91))</f>
        <v>JD_67</v>
      </c>
      <c r="B91" s="110"/>
      <c r="C91" s="68" t="s">
        <v>466</v>
      </c>
      <c r="D91" s="68" t="s">
        <v>467</v>
      </c>
      <c r="E91" s="68" t="s">
        <v>468</v>
      </c>
      <c r="F91" s="68" t="s">
        <v>254</v>
      </c>
      <c r="G91" s="68" t="s">
        <v>469</v>
      </c>
      <c r="H91" s="65" t="s">
        <v>83</v>
      </c>
      <c r="I91" s="65" t="s">
        <v>75</v>
      </c>
      <c r="J91" s="65"/>
      <c r="K91" s="65"/>
      <c r="L91" s="65"/>
      <c r="M91" s="66"/>
      <c r="N91" s="67" t="str">
        <f t="shared" si="6"/>
        <v/>
      </c>
      <c r="O91" s="68"/>
      <c r="P91" s="68"/>
      <c r="Q91" s="75"/>
      <c r="R91" s="75"/>
      <c r="S91" s="75"/>
      <c r="T91" s="75"/>
      <c r="U91" s="75"/>
      <c r="V91" s="75"/>
      <c r="W91" s="75"/>
      <c r="X91" s="75"/>
      <c r="Y91" s="75"/>
      <c r="Z91" s="75"/>
      <c r="AA91" s="75"/>
      <c r="AB91" s="75"/>
      <c r="AC91" s="75"/>
      <c r="AD91" s="75"/>
    </row>
    <row r="92" spans="1:30" ht="236.25">
      <c r="A92" s="61" t="str">
        <f>IF(AND(G92="",G92=""),"",$D$3&amp;"_"&amp;ROW()-13-COUNTBLANK($G$14:G92))</f>
        <v>JD_68</v>
      </c>
      <c r="B92" s="110"/>
      <c r="C92" s="68" t="s">
        <v>470</v>
      </c>
      <c r="D92" s="68" t="s">
        <v>471</v>
      </c>
      <c r="E92" s="68" t="s">
        <v>472</v>
      </c>
      <c r="F92" s="68" t="s">
        <v>254</v>
      </c>
      <c r="G92" s="68" t="s">
        <v>278</v>
      </c>
      <c r="H92" s="65" t="s">
        <v>74</v>
      </c>
      <c r="I92" s="65" t="s">
        <v>75</v>
      </c>
      <c r="J92" s="65"/>
      <c r="K92" s="65"/>
      <c r="L92" s="65"/>
      <c r="M92" s="66"/>
      <c r="N92" s="67" t="str">
        <f t="shared" si="6"/>
        <v/>
      </c>
      <c r="O92" s="68"/>
      <c r="P92" s="68"/>
      <c r="Q92" s="75"/>
      <c r="R92" s="75"/>
      <c r="S92" s="75"/>
      <c r="T92" s="75"/>
      <c r="U92" s="75"/>
      <c r="V92" s="75"/>
      <c r="W92" s="75"/>
      <c r="X92" s="75"/>
      <c r="Y92" s="75"/>
      <c r="Z92" s="75"/>
      <c r="AA92" s="75"/>
      <c r="AB92" s="75"/>
      <c r="AC92" s="75"/>
      <c r="AD92" s="75"/>
    </row>
    <row r="93" spans="1:30" ht="220.5">
      <c r="A93" s="61" t="str">
        <f>IF(AND(G93="",G93=""),"",$D$3&amp;"_"&amp;ROW()-13-COUNTBLANK($G$14:G93))</f>
        <v>JD_69</v>
      </c>
      <c r="B93" s="111"/>
      <c r="C93" s="68" t="s">
        <v>473</v>
      </c>
      <c r="D93" s="68" t="s">
        <v>474</v>
      </c>
      <c r="E93" s="68" t="s">
        <v>475</v>
      </c>
      <c r="F93" s="68" t="s">
        <v>254</v>
      </c>
      <c r="G93" s="68" t="s">
        <v>278</v>
      </c>
      <c r="H93" s="65" t="s">
        <v>74</v>
      </c>
      <c r="I93" s="65" t="s">
        <v>75</v>
      </c>
      <c r="J93" s="65"/>
      <c r="K93" s="65"/>
      <c r="L93" s="65"/>
      <c r="M93" s="66"/>
      <c r="N93" s="67" t="str">
        <f t="shared" si="6"/>
        <v/>
      </c>
      <c r="O93" s="68"/>
      <c r="P93" s="68"/>
      <c r="Q93" s="75"/>
      <c r="R93" s="75"/>
      <c r="S93" s="75"/>
      <c r="T93" s="75"/>
      <c r="U93" s="75"/>
      <c r="V93" s="75"/>
      <c r="W93" s="75"/>
      <c r="X93" s="75"/>
      <c r="Y93" s="75"/>
      <c r="Z93" s="75"/>
      <c r="AA93" s="75"/>
      <c r="AB93" s="75"/>
      <c r="AC93" s="75"/>
      <c r="AD93" s="75"/>
    </row>
    <row r="94" spans="1:30" ht="15.75">
      <c r="A94" s="61" t="str">
        <f>IF(AND(G94="",G94=""),"",$D$3&amp;"_"&amp;ROW()-13-COUNTBLANK($G$14:G94))</f>
        <v/>
      </c>
      <c r="B94" s="115" t="s">
        <v>476</v>
      </c>
      <c r="C94" s="102"/>
      <c r="D94" s="102"/>
      <c r="E94" s="102"/>
      <c r="F94" s="102"/>
      <c r="G94" s="102"/>
      <c r="H94" s="102"/>
      <c r="I94" s="102"/>
      <c r="J94" s="102"/>
      <c r="K94" s="102"/>
      <c r="L94" s="102"/>
      <c r="M94" s="102"/>
      <c r="N94" s="102"/>
      <c r="O94" s="102"/>
      <c r="P94" s="103"/>
      <c r="Q94" s="48"/>
      <c r="R94" s="48"/>
      <c r="S94" s="48"/>
      <c r="T94" s="48"/>
      <c r="U94" s="48"/>
      <c r="V94" s="48"/>
      <c r="W94" s="48"/>
      <c r="X94" s="48"/>
      <c r="Y94" s="48"/>
      <c r="Z94" s="48"/>
      <c r="AA94" s="48"/>
      <c r="AB94" s="48"/>
      <c r="AC94" s="48"/>
      <c r="AD94" s="48"/>
    </row>
    <row r="95" spans="1:30" ht="220.5">
      <c r="A95" s="61" t="str">
        <f>IF(AND(G95="",G95=""),"",$D$3&amp;"_"&amp;ROW()-13-COUNTBLANK($G$14:G95))</f>
        <v>JD_70</v>
      </c>
      <c r="B95" s="62" t="s">
        <v>476</v>
      </c>
      <c r="C95" s="68" t="s">
        <v>477</v>
      </c>
      <c r="D95" s="68" t="s">
        <v>252</v>
      </c>
      <c r="E95" s="68" t="s">
        <v>253</v>
      </c>
      <c r="F95" s="68" t="s">
        <v>254</v>
      </c>
      <c r="G95" s="68" t="s">
        <v>255</v>
      </c>
      <c r="H95" s="65" t="s">
        <v>83</v>
      </c>
      <c r="I95" s="65" t="s">
        <v>75</v>
      </c>
      <c r="J95" s="65"/>
      <c r="K95" s="65"/>
      <c r="L95" s="65"/>
      <c r="M95" s="66"/>
      <c r="N95" s="67" t="str">
        <f t="shared" ref="N95:N101" si="7">IF(OR(IF(M95="",IF(L95="",IF(K95="","",K95),L95),M95)="F")=TRUE,"F",IF(OR(IF(M95="",IF(L95="",IF(K95="","",K95),L95),M95)="PE")=TRUE,"PE",IF(AND(IF(M95="",IF(L95="",IF(K95="","",K95),L95),M95)="")=TRUE,"","P")))</f>
        <v/>
      </c>
      <c r="O95" s="68"/>
      <c r="P95" s="68"/>
      <c r="Q95" s="75"/>
      <c r="R95" s="75"/>
      <c r="S95" s="75"/>
      <c r="T95" s="75"/>
      <c r="U95" s="75"/>
      <c r="V95" s="75"/>
      <c r="W95" s="75"/>
      <c r="X95" s="75"/>
      <c r="Y95" s="75"/>
      <c r="Z95" s="75"/>
      <c r="AA95" s="75"/>
      <c r="AB95" s="75"/>
      <c r="AC95" s="75"/>
      <c r="AD95" s="75"/>
    </row>
    <row r="96" spans="1:30" ht="220.5">
      <c r="A96" s="61" t="str">
        <f>IF(AND(G96="",G96=""),"",$D$3&amp;"_"&amp;ROW()-13-COUNTBLANK($G$14:G96))</f>
        <v>JD_71</v>
      </c>
      <c r="B96" s="110"/>
      <c r="C96" s="68" t="s">
        <v>478</v>
      </c>
      <c r="D96" s="68" t="s">
        <v>479</v>
      </c>
      <c r="E96" s="68" t="s">
        <v>480</v>
      </c>
      <c r="F96" s="68" t="s">
        <v>254</v>
      </c>
      <c r="G96" s="68" t="s">
        <v>255</v>
      </c>
      <c r="H96" s="65" t="s">
        <v>83</v>
      </c>
      <c r="I96" s="65" t="s">
        <v>75</v>
      </c>
      <c r="J96" s="65"/>
      <c r="K96" s="65"/>
      <c r="L96" s="65"/>
      <c r="M96" s="66"/>
      <c r="N96" s="67" t="str">
        <f t="shared" si="7"/>
        <v/>
      </c>
      <c r="O96" s="68"/>
      <c r="P96" s="68"/>
      <c r="Q96" s="75"/>
      <c r="R96" s="75"/>
      <c r="S96" s="75"/>
      <c r="T96" s="75"/>
      <c r="U96" s="75"/>
      <c r="V96" s="75"/>
      <c r="W96" s="75"/>
      <c r="X96" s="75"/>
      <c r="Y96" s="75"/>
      <c r="Z96" s="75"/>
      <c r="AA96" s="75"/>
      <c r="AB96" s="75"/>
      <c r="AC96" s="75"/>
      <c r="AD96" s="75"/>
    </row>
    <row r="97" spans="1:30" ht="220.5">
      <c r="A97" s="61" t="str">
        <f>IF(AND(G97="",G97=""),"",$D$3&amp;"_"&amp;ROW()-13-COUNTBLANK($G$14:G97))</f>
        <v>JD_72</v>
      </c>
      <c r="B97" s="110"/>
      <c r="C97" s="68" t="s">
        <v>481</v>
      </c>
      <c r="D97" s="68" t="s">
        <v>482</v>
      </c>
      <c r="E97" s="68" t="s">
        <v>483</v>
      </c>
      <c r="F97" s="68" t="s">
        <v>254</v>
      </c>
      <c r="G97" s="68" t="s">
        <v>278</v>
      </c>
      <c r="H97" s="65" t="s">
        <v>74</v>
      </c>
      <c r="I97" s="65" t="s">
        <v>75</v>
      </c>
      <c r="J97" s="65"/>
      <c r="K97" s="65"/>
      <c r="L97" s="65"/>
      <c r="M97" s="66"/>
      <c r="N97" s="67" t="str">
        <f t="shared" si="7"/>
        <v/>
      </c>
      <c r="O97" s="68"/>
      <c r="P97" s="68"/>
      <c r="Q97" s="75"/>
      <c r="R97" s="75"/>
      <c r="S97" s="75"/>
      <c r="T97" s="75"/>
      <c r="U97" s="75"/>
      <c r="V97" s="75"/>
      <c r="W97" s="75"/>
      <c r="X97" s="75"/>
      <c r="Y97" s="75"/>
      <c r="Z97" s="75"/>
      <c r="AA97" s="75"/>
      <c r="AB97" s="75"/>
      <c r="AC97" s="75"/>
      <c r="AD97" s="75"/>
    </row>
    <row r="98" spans="1:30" ht="236.25">
      <c r="A98" s="61" t="str">
        <f>IF(AND(G98="",G98=""),"",$D$3&amp;"_"&amp;ROW()-13-COUNTBLANK($G$14:G98))</f>
        <v>JD_73</v>
      </c>
      <c r="B98" s="110"/>
      <c r="C98" s="68" t="s">
        <v>484</v>
      </c>
      <c r="D98" s="68" t="s">
        <v>485</v>
      </c>
      <c r="E98" s="68" t="s">
        <v>486</v>
      </c>
      <c r="F98" s="68" t="s">
        <v>254</v>
      </c>
      <c r="G98" s="68" t="s">
        <v>487</v>
      </c>
      <c r="H98" s="65" t="s">
        <v>83</v>
      </c>
      <c r="I98" s="65" t="s">
        <v>75</v>
      </c>
      <c r="J98" s="65"/>
      <c r="K98" s="65"/>
      <c r="L98" s="65"/>
      <c r="M98" s="66"/>
      <c r="N98" s="67" t="str">
        <f t="shared" si="7"/>
        <v/>
      </c>
      <c r="O98" s="68"/>
      <c r="P98" s="68" t="s">
        <v>488</v>
      </c>
      <c r="Q98" s="75"/>
      <c r="R98" s="75"/>
      <c r="S98" s="75"/>
      <c r="T98" s="75"/>
      <c r="U98" s="75"/>
      <c r="V98" s="75"/>
      <c r="W98" s="75"/>
      <c r="X98" s="75"/>
      <c r="Y98" s="75"/>
      <c r="Z98" s="75"/>
      <c r="AA98" s="75"/>
      <c r="AB98" s="75"/>
      <c r="AC98" s="75"/>
      <c r="AD98" s="75"/>
    </row>
    <row r="99" spans="1:30" ht="236.25">
      <c r="A99" s="61" t="str">
        <f>IF(AND(G99="",G99=""),"",$D$3&amp;"_"&amp;ROW()-13-COUNTBLANK($G$14:G99))</f>
        <v>JD_74</v>
      </c>
      <c r="B99" s="110"/>
      <c r="C99" s="68" t="s">
        <v>489</v>
      </c>
      <c r="D99" s="68" t="s">
        <v>490</v>
      </c>
      <c r="E99" s="68" t="s">
        <v>491</v>
      </c>
      <c r="F99" s="68" t="s">
        <v>254</v>
      </c>
      <c r="G99" s="68" t="s">
        <v>492</v>
      </c>
      <c r="H99" s="65" t="s">
        <v>83</v>
      </c>
      <c r="I99" s="65" t="s">
        <v>75</v>
      </c>
      <c r="J99" s="65"/>
      <c r="K99" s="65"/>
      <c r="L99" s="65"/>
      <c r="M99" s="66"/>
      <c r="N99" s="67" t="str">
        <f t="shared" si="7"/>
        <v/>
      </c>
      <c r="O99" s="68"/>
      <c r="P99" s="68" t="s">
        <v>493</v>
      </c>
      <c r="Q99" s="75"/>
      <c r="R99" s="75"/>
      <c r="S99" s="75"/>
      <c r="T99" s="75"/>
      <c r="U99" s="75"/>
      <c r="V99" s="75"/>
      <c r="W99" s="75"/>
      <c r="X99" s="75"/>
      <c r="Y99" s="75"/>
      <c r="Z99" s="75"/>
      <c r="AA99" s="75"/>
      <c r="AB99" s="75"/>
      <c r="AC99" s="75"/>
      <c r="AD99" s="75"/>
    </row>
    <row r="100" spans="1:30" ht="236.25">
      <c r="A100" s="61" t="str">
        <f>IF(AND(G100="",G100=""),"",$D$3&amp;"_"&amp;ROW()-13-COUNTBLANK($G$14:G100))</f>
        <v>JD_75</v>
      </c>
      <c r="B100" s="110"/>
      <c r="C100" s="68" t="s">
        <v>494</v>
      </c>
      <c r="D100" s="68" t="s">
        <v>495</v>
      </c>
      <c r="E100" s="68" t="s">
        <v>496</v>
      </c>
      <c r="F100" s="68" t="s">
        <v>254</v>
      </c>
      <c r="G100" s="68" t="s">
        <v>278</v>
      </c>
      <c r="H100" s="65" t="s">
        <v>74</v>
      </c>
      <c r="I100" s="65" t="s">
        <v>75</v>
      </c>
      <c r="J100" s="65"/>
      <c r="K100" s="65"/>
      <c r="L100" s="65"/>
      <c r="M100" s="66"/>
      <c r="N100" s="67" t="str">
        <f t="shared" si="7"/>
        <v/>
      </c>
      <c r="O100" s="68"/>
      <c r="P100" s="68"/>
      <c r="Q100" s="75"/>
      <c r="R100" s="75"/>
      <c r="S100" s="75"/>
      <c r="T100" s="75"/>
      <c r="U100" s="75"/>
      <c r="V100" s="75"/>
      <c r="W100" s="75"/>
      <c r="X100" s="75"/>
      <c r="Y100" s="75"/>
      <c r="Z100" s="75"/>
      <c r="AA100" s="75"/>
      <c r="AB100" s="75"/>
      <c r="AC100" s="75"/>
      <c r="AD100" s="75"/>
    </row>
    <row r="101" spans="1:30" ht="220.5">
      <c r="A101" s="61" t="str">
        <f>IF(AND(G101="",G101=""),"",$D$3&amp;"_"&amp;ROW()-13-COUNTBLANK($G$14:G101))</f>
        <v>JD_76</v>
      </c>
      <c r="B101" s="111"/>
      <c r="C101" s="68" t="s">
        <v>497</v>
      </c>
      <c r="D101" s="68" t="s">
        <v>498</v>
      </c>
      <c r="E101" s="68" t="s">
        <v>499</v>
      </c>
      <c r="F101" s="68" t="s">
        <v>254</v>
      </c>
      <c r="G101" s="68" t="s">
        <v>278</v>
      </c>
      <c r="H101" s="65" t="s">
        <v>74</v>
      </c>
      <c r="I101" s="65" t="s">
        <v>75</v>
      </c>
      <c r="J101" s="65"/>
      <c r="K101" s="65"/>
      <c r="L101" s="65"/>
      <c r="M101" s="66"/>
      <c r="N101" s="67" t="str">
        <f t="shared" si="7"/>
        <v/>
      </c>
      <c r="O101" s="68"/>
      <c r="P101" s="68"/>
      <c r="Q101" s="75"/>
      <c r="R101" s="75"/>
      <c r="S101" s="75"/>
      <c r="T101" s="75"/>
      <c r="U101" s="75"/>
      <c r="V101" s="75"/>
      <c r="W101" s="75"/>
      <c r="X101" s="75"/>
      <c r="Y101" s="75"/>
      <c r="Z101" s="75"/>
      <c r="AA101" s="75"/>
      <c r="AB101" s="75"/>
      <c r="AC101" s="75"/>
      <c r="AD101" s="75"/>
    </row>
    <row r="102" spans="1:30" ht="15.75">
      <c r="A102" s="61" t="str">
        <f>IF(AND(G102="",G102=""),"",$D$3&amp;"_"&amp;ROW()-13-COUNTBLANK($G$14:G102))</f>
        <v/>
      </c>
      <c r="B102" s="114" t="s">
        <v>500</v>
      </c>
      <c r="C102" s="102"/>
      <c r="D102" s="102"/>
      <c r="E102" s="102"/>
      <c r="F102" s="102"/>
      <c r="G102" s="102"/>
      <c r="H102" s="102"/>
      <c r="I102" s="102"/>
      <c r="J102" s="102"/>
      <c r="K102" s="102"/>
      <c r="L102" s="102"/>
      <c r="M102" s="102"/>
      <c r="N102" s="102"/>
      <c r="O102" s="102"/>
      <c r="P102" s="103"/>
      <c r="Q102" s="48"/>
      <c r="R102" s="48"/>
      <c r="S102" s="48"/>
      <c r="T102" s="48"/>
      <c r="U102" s="48"/>
      <c r="V102" s="48"/>
      <c r="W102" s="48"/>
      <c r="X102" s="48"/>
      <c r="Y102" s="48"/>
      <c r="Z102" s="48"/>
      <c r="AA102" s="48"/>
      <c r="AB102" s="48"/>
      <c r="AC102" s="48"/>
      <c r="AD102" s="48"/>
    </row>
    <row r="103" spans="1:30" ht="15.75">
      <c r="A103" s="61" t="str">
        <f>IF(AND(G103="",G103=""),"",$D$3&amp;"_"&amp;ROW()-13-COUNTBLANK($G$14:G103))</f>
        <v/>
      </c>
      <c r="B103" s="115" t="s">
        <v>501</v>
      </c>
      <c r="C103" s="102"/>
      <c r="D103" s="102"/>
      <c r="E103" s="102"/>
      <c r="F103" s="102"/>
      <c r="G103" s="102"/>
      <c r="H103" s="102"/>
      <c r="I103" s="102"/>
      <c r="J103" s="102"/>
      <c r="K103" s="102"/>
      <c r="L103" s="102"/>
      <c r="M103" s="102"/>
      <c r="N103" s="102"/>
      <c r="O103" s="102"/>
      <c r="P103" s="103"/>
      <c r="Q103" s="48"/>
      <c r="R103" s="48"/>
      <c r="S103" s="48"/>
      <c r="T103" s="48"/>
      <c r="U103" s="48"/>
      <c r="V103" s="48"/>
      <c r="W103" s="48"/>
      <c r="X103" s="48"/>
      <c r="Y103" s="48"/>
      <c r="Z103" s="48"/>
      <c r="AA103" s="48"/>
      <c r="AB103" s="48"/>
      <c r="AC103" s="48"/>
      <c r="AD103" s="48"/>
    </row>
    <row r="104" spans="1:30" ht="220.5">
      <c r="A104" s="61" t="str">
        <f>IF(AND(G104="",G104=""),"",$D$3&amp;"_"&amp;ROW()-13-COUNTBLANK($G$14:G104))</f>
        <v>JD_77</v>
      </c>
      <c r="B104" s="62" t="s">
        <v>501</v>
      </c>
      <c r="C104" s="68" t="s">
        <v>502</v>
      </c>
      <c r="D104" s="68" t="s">
        <v>336</v>
      </c>
      <c r="E104" s="68" t="s">
        <v>337</v>
      </c>
      <c r="F104" s="68" t="s">
        <v>254</v>
      </c>
      <c r="G104" s="68" t="s">
        <v>503</v>
      </c>
      <c r="H104" s="65" t="s">
        <v>83</v>
      </c>
      <c r="I104" s="65" t="s">
        <v>75</v>
      </c>
      <c r="J104" s="65"/>
      <c r="K104" s="65"/>
      <c r="L104" s="65"/>
      <c r="M104" s="66"/>
      <c r="N104" s="67" t="str">
        <f>IF(OR(IF(M104="",IF(L104="",IF(K104="","",K104),L104),M104)="F")=TRUE,"F",IF(OR(IF(M104="",IF(L104="",IF(K104="","",K104),L104),M104)="PE")=TRUE,"PE",IF(AND(IF(M104="",IF(L104="",IF(K104="","",K104),L104),M104)="")=TRUE,"","P")))</f>
        <v/>
      </c>
      <c r="O104" s="68"/>
      <c r="P104" s="68"/>
      <c r="Q104" s="75"/>
      <c r="R104" s="75"/>
      <c r="S104" s="75"/>
      <c r="T104" s="75"/>
      <c r="U104" s="75"/>
      <c r="V104" s="75"/>
      <c r="W104" s="75"/>
      <c r="X104" s="75"/>
      <c r="Y104" s="75"/>
      <c r="Z104" s="75"/>
      <c r="AA104" s="75"/>
      <c r="AB104" s="75"/>
      <c r="AC104" s="75"/>
      <c r="AD104" s="75"/>
    </row>
    <row r="105" spans="1:30" ht="236.25">
      <c r="A105" s="61" t="str">
        <f>IF(AND(G105="",G105=""),"",$D$3&amp;"_"&amp;ROW()-13-COUNTBLANK($G$14:G105))</f>
        <v>JD_78</v>
      </c>
      <c r="B105" s="110"/>
      <c r="C105" s="68" t="s">
        <v>504</v>
      </c>
      <c r="D105" s="68" t="s">
        <v>356</v>
      </c>
      <c r="E105" s="68" t="s">
        <v>357</v>
      </c>
      <c r="F105" s="68" t="s">
        <v>254</v>
      </c>
      <c r="G105" s="68" t="s">
        <v>358</v>
      </c>
      <c r="H105" s="65" t="s">
        <v>83</v>
      </c>
      <c r="I105" s="65" t="s">
        <v>75</v>
      </c>
      <c r="J105" s="65"/>
      <c r="K105" s="65"/>
      <c r="L105" s="65"/>
      <c r="M105" s="66"/>
      <c r="N105" s="67" t="str">
        <f>IF(OR(IF(M105="",IF(L105="",IF(K105="","",K105),L105),M105)="F")=TRUE,"F",IF(OR(IF(M105="",IF(L105="",IF(K105="","",K105),L105),M105)="PE")=TRUE,"PE",IF(AND(IF(M105="",IF(L105="",IF(K105="","",K105),L105),M105)="")=TRUE,"","P")))</f>
        <v/>
      </c>
      <c r="O105" s="68"/>
      <c r="P105" s="68" t="s">
        <v>505</v>
      </c>
      <c r="Q105" s="75"/>
      <c r="R105" s="75"/>
      <c r="S105" s="75"/>
      <c r="T105" s="75"/>
      <c r="U105" s="75"/>
      <c r="V105" s="75"/>
      <c r="W105" s="75"/>
      <c r="X105" s="75"/>
      <c r="Y105" s="75"/>
      <c r="Z105" s="75"/>
      <c r="AA105" s="75"/>
      <c r="AB105" s="75"/>
      <c r="AC105" s="75"/>
      <c r="AD105" s="75"/>
    </row>
    <row r="106" spans="1:30" ht="220.5">
      <c r="A106" s="61" t="str">
        <f>IF(AND(G106="",G106=""),"",$D$3&amp;"_"&amp;ROW()-13-COUNTBLANK($G$14:G106))</f>
        <v>JD_79</v>
      </c>
      <c r="B106" s="111"/>
      <c r="C106" s="68" t="s">
        <v>506</v>
      </c>
      <c r="D106" s="68" t="s">
        <v>252</v>
      </c>
      <c r="E106" s="68" t="s">
        <v>253</v>
      </c>
      <c r="F106" s="68" t="s">
        <v>254</v>
      </c>
      <c r="G106" s="68" t="s">
        <v>507</v>
      </c>
      <c r="H106" s="65" t="s">
        <v>83</v>
      </c>
      <c r="I106" s="65" t="s">
        <v>75</v>
      </c>
      <c r="J106" s="65"/>
      <c r="K106" s="65"/>
      <c r="L106" s="65"/>
      <c r="M106" s="66"/>
      <c r="N106" s="67" t="str">
        <f>IF(OR(IF(M106="",IF(L106="",IF(K106="","",K106),L106),M106)="F")=TRUE,"F",IF(OR(IF(M106="",IF(L106="",IF(K106="","",K106),L106),M106)="PE")=TRUE,"PE",IF(AND(IF(M106="",IF(L106="",IF(K106="","",K106),L106),M106)="")=TRUE,"","P")))</f>
        <v/>
      </c>
      <c r="O106" s="68"/>
      <c r="P106" s="68"/>
      <c r="Q106" s="75"/>
      <c r="R106" s="75"/>
      <c r="S106" s="75"/>
      <c r="T106" s="75"/>
      <c r="U106" s="75"/>
      <c r="V106" s="75"/>
      <c r="W106" s="75"/>
      <c r="X106" s="75"/>
      <c r="Y106" s="75"/>
      <c r="Z106" s="75"/>
      <c r="AA106" s="75"/>
      <c r="AB106" s="75"/>
      <c r="AC106" s="75"/>
      <c r="AD106" s="75"/>
    </row>
    <row r="107" spans="1:30" ht="15.75">
      <c r="A107" s="61" t="str">
        <f>IF(AND(G107="",G107=""),"",$D$3&amp;"_"&amp;ROW()-13-COUNTBLANK($G$14:G107))</f>
        <v/>
      </c>
      <c r="B107" s="114" t="s">
        <v>508</v>
      </c>
      <c r="C107" s="102"/>
      <c r="D107" s="102"/>
      <c r="E107" s="102"/>
      <c r="F107" s="102"/>
      <c r="G107" s="102"/>
      <c r="H107" s="102"/>
      <c r="I107" s="102"/>
      <c r="J107" s="102"/>
      <c r="K107" s="102"/>
      <c r="L107" s="102"/>
      <c r="M107" s="102"/>
      <c r="N107" s="102"/>
      <c r="O107" s="102"/>
      <c r="P107" s="103"/>
      <c r="Q107" s="48"/>
      <c r="R107" s="48"/>
      <c r="S107" s="48"/>
      <c r="T107" s="48"/>
      <c r="U107" s="48"/>
      <c r="V107" s="48"/>
      <c r="W107" s="48"/>
      <c r="X107" s="48"/>
      <c r="Y107" s="48"/>
      <c r="Z107" s="48"/>
      <c r="AA107" s="48"/>
      <c r="AB107" s="48"/>
      <c r="AC107" s="48"/>
      <c r="AD107" s="48"/>
    </row>
    <row r="108" spans="1:30" ht="15.75">
      <c r="A108" s="61" t="str">
        <f>IF(AND(G108="",G108=""),"",$D$3&amp;"_"&amp;ROW()-13-COUNTBLANK($G$14:G108))</f>
        <v/>
      </c>
      <c r="B108" s="115" t="s">
        <v>509</v>
      </c>
      <c r="C108" s="102"/>
      <c r="D108" s="102"/>
      <c r="E108" s="102"/>
      <c r="F108" s="102"/>
      <c r="G108" s="102"/>
      <c r="H108" s="102"/>
      <c r="I108" s="102"/>
      <c r="J108" s="102"/>
      <c r="K108" s="102"/>
      <c r="L108" s="102"/>
      <c r="M108" s="102"/>
      <c r="N108" s="102"/>
      <c r="O108" s="102"/>
      <c r="P108" s="103"/>
      <c r="Q108" s="48"/>
      <c r="R108" s="48"/>
      <c r="S108" s="48"/>
      <c r="T108" s="48"/>
      <c r="U108" s="48"/>
      <c r="V108" s="48"/>
      <c r="W108" s="48"/>
      <c r="X108" s="48"/>
      <c r="Y108" s="48"/>
      <c r="Z108" s="48"/>
      <c r="AA108" s="48"/>
      <c r="AB108" s="48"/>
      <c r="AC108" s="48"/>
      <c r="AD108" s="48"/>
    </row>
    <row r="109" spans="1:30" ht="220.5">
      <c r="A109" s="61" t="str">
        <f>IF(AND(G109="",G109=""),"",$D$3&amp;"_"&amp;ROW()-13-COUNTBLANK($G$14:G109))</f>
        <v>JD_80</v>
      </c>
      <c r="B109" s="62" t="s">
        <v>509</v>
      </c>
      <c r="C109" s="68" t="s">
        <v>510</v>
      </c>
      <c r="D109" s="68" t="s">
        <v>252</v>
      </c>
      <c r="E109" s="68" t="s">
        <v>253</v>
      </c>
      <c r="F109" s="68" t="s">
        <v>254</v>
      </c>
      <c r="G109" s="68" t="s">
        <v>255</v>
      </c>
      <c r="H109" s="65" t="s">
        <v>83</v>
      </c>
      <c r="I109" s="65" t="s">
        <v>75</v>
      </c>
      <c r="J109" s="65"/>
      <c r="K109" s="65"/>
      <c r="L109" s="65"/>
      <c r="M109" s="66"/>
      <c r="N109" s="67" t="str">
        <f>IF(OR(IF(M109="",IF(L109="",IF(K109="","",K109),L109),M109)="F")=TRUE,"F",IF(OR(IF(M109="",IF(L109="",IF(K109="","",K109),L109),M109)="PE")=TRUE,"PE",IF(AND(IF(M109="",IF(L109="",IF(K109="","",K109),L109),M109)="")=TRUE,"","P")))</f>
        <v/>
      </c>
      <c r="O109" s="68"/>
      <c r="P109" s="68"/>
      <c r="Q109" s="75"/>
      <c r="R109" s="75"/>
      <c r="S109" s="75"/>
      <c r="T109" s="75"/>
      <c r="U109" s="75"/>
      <c r="V109" s="75"/>
      <c r="W109" s="75"/>
      <c r="X109" s="75"/>
      <c r="Y109" s="75"/>
      <c r="Z109" s="75"/>
      <c r="AA109" s="75"/>
      <c r="AB109" s="75"/>
      <c r="AC109" s="75"/>
      <c r="AD109" s="75"/>
    </row>
    <row r="110" spans="1:30" ht="220.5">
      <c r="A110" s="61" t="str">
        <f>IF(AND(G110="",G110=""),"",$D$3&amp;"_"&amp;ROW()-13-COUNTBLANK($G$14:G110))</f>
        <v>JD_81</v>
      </c>
      <c r="B110" s="111"/>
      <c r="C110" s="68" t="s">
        <v>511</v>
      </c>
      <c r="D110" s="68" t="s">
        <v>512</v>
      </c>
      <c r="E110" s="68" t="s">
        <v>513</v>
      </c>
      <c r="F110" s="68" t="s">
        <v>254</v>
      </c>
      <c r="G110" s="68" t="s">
        <v>514</v>
      </c>
      <c r="H110" s="65" t="s">
        <v>83</v>
      </c>
      <c r="I110" s="65" t="s">
        <v>75</v>
      </c>
      <c r="J110" s="65"/>
      <c r="K110" s="65"/>
      <c r="L110" s="65"/>
      <c r="M110" s="66"/>
      <c r="N110" s="67" t="str">
        <f>IF(OR(IF(M110="",IF(L110="",IF(K110="","",K110),L110),M110)="F")=TRUE,"F",IF(OR(IF(M110="",IF(L110="",IF(K110="","",K110),L110),M110)="PE")=TRUE,"PE",IF(AND(IF(M110="",IF(L110="",IF(K110="","",K110),L110),M110)="")=TRUE,"","P")))</f>
        <v/>
      </c>
      <c r="O110" s="68"/>
      <c r="P110" s="68"/>
      <c r="Q110" s="75"/>
      <c r="R110" s="75"/>
      <c r="S110" s="75"/>
      <c r="T110" s="75"/>
      <c r="U110" s="75"/>
      <c r="V110" s="75"/>
      <c r="W110" s="75"/>
      <c r="X110" s="75"/>
      <c r="Y110" s="75"/>
      <c r="Z110" s="75"/>
      <c r="AA110" s="75"/>
      <c r="AB110" s="75"/>
      <c r="AC110" s="75"/>
      <c r="AD110" s="75"/>
    </row>
    <row r="111" spans="1:30" ht="15.75">
      <c r="A111" s="61" t="str">
        <f>IF(AND(G111="",G111=""),"",$D$3&amp;"_"&amp;ROW()-13-COUNTBLANK($G$14:G111))</f>
        <v/>
      </c>
      <c r="B111" s="115" t="s">
        <v>515</v>
      </c>
      <c r="C111" s="102"/>
      <c r="D111" s="102"/>
      <c r="E111" s="102"/>
      <c r="F111" s="102"/>
      <c r="G111" s="102"/>
      <c r="H111" s="102"/>
      <c r="I111" s="102"/>
      <c r="J111" s="102"/>
      <c r="K111" s="102"/>
      <c r="L111" s="102"/>
      <c r="M111" s="102"/>
      <c r="N111" s="102"/>
      <c r="O111" s="102"/>
      <c r="P111" s="103"/>
      <c r="Q111" s="48"/>
      <c r="R111" s="48"/>
      <c r="S111" s="48"/>
      <c r="T111" s="48"/>
      <c r="U111" s="48"/>
      <c r="V111" s="48"/>
      <c r="W111" s="48"/>
      <c r="X111" s="48"/>
      <c r="Y111" s="48"/>
      <c r="Z111" s="48"/>
      <c r="AA111" s="48"/>
      <c r="AB111" s="48"/>
      <c r="AC111" s="48"/>
      <c r="AD111" s="48"/>
    </row>
    <row r="112" spans="1:30" ht="189">
      <c r="A112" s="61" t="str">
        <f>IF(AND(G112="",G112=""),"",$D$3&amp;"_"&amp;ROW()-13-COUNTBLANK($G$14:G112))</f>
        <v>JD_82</v>
      </c>
      <c r="B112" s="62" t="s">
        <v>515</v>
      </c>
      <c r="C112" s="68" t="s">
        <v>516</v>
      </c>
      <c r="D112" s="68" t="s">
        <v>517</v>
      </c>
      <c r="E112" s="68" t="s">
        <v>518</v>
      </c>
      <c r="F112" s="68" t="s">
        <v>254</v>
      </c>
      <c r="G112" s="68" t="s">
        <v>514</v>
      </c>
      <c r="H112" s="65" t="s">
        <v>83</v>
      </c>
      <c r="I112" s="65" t="s">
        <v>75</v>
      </c>
      <c r="J112" s="65"/>
      <c r="K112" s="65"/>
      <c r="L112" s="65"/>
      <c r="M112" s="66"/>
      <c r="N112" s="67" t="str">
        <f>IF(OR(IF(M112="",IF(L112="",IF(K112="","",K112),L112),M112)="F")=TRUE,"F",IF(OR(IF(M112="",IF(L112="",IF(K112="","",K112),L112),M112)="PE")=TRUE,"PE",IF(AND(IF(M112="",IF(L112="",IF(K112="","",K112),L112),M112)="")=TRUE,"","P")))</f>
        <v/>
      </c>
      <c r="O112" s="68"/>
      <c r="P112" s="68"/>
      <c r="Q112" s="75"/>
      <c r="R112" s="75"/>
      <c r="S112" s="75"/>
      <c r="T112" s="75"/>
      <c r="U112" s="75"/>
      <c r="V112" s="75"/>
      <c r="W112" s="75"/>
      <c r="X112" s="75"/>
      <c r="Y112" s="75"/>
      <c r="Z112" s="75"/>
      <c r="AA112" s="75"/>
      <c r="AB112" s="75"/>
      <c r="AC112" s="75"/>
      <c r="AD112" s="75"/>
    </row>
    <row r="113" spans="1:30" ht="220.5">
      <c r="A113" s="61" t="str">
        <f>IF(AND(G113="",G113=""),"",$D$3&amp;"_"&amp;ROW()-13-COUNTBLANK($G$14:G113))</f>
        <v>JD_83</v>
      </c>
      <c r="B113" s="110"/>
      <c r="C113" s="68" t="s">
        <v>519</v>
      </c>
      <c r="D113" s="68" t="s">
        <v>252</v>
      </c>
      <c r="E113" s="68" t="s">
        <v>253</v>
      </c>
      <c r="F113" s="68" t="s">
        <v>254</v>
      </c>
      <c r="G113" s="68" t="s">
        <v>255</v>
      </c>
      <c r="H113" s="65" t="s">
        <v>83</v>
      </c>
      <c r="I113" s="65" t="s">
        <v>75</v>
      </c>
      <c r="J113" s="65"/>
      <c r="K113" s="65"/>
      <c r="L113" s="65"/>
      <c r="M113" s="66"/>
      <c r="N113" s="67" t="str">
        <f>IF(OR(IF(M113="",IF(L113="",IF(K113="","",K113),L113),M113)="F")=TRUE,"F",IF(OR(IF(M113="",IF(L113="",IF(K113="","",K113),L113),M113)="PE")=TRUE,"PE",IF(AND(IF(M113="",IF(L113="",IF(K113="","",K113),L113),M113)="")=TRUE,"","P")))</f>
        <v/>
      </c>
      <c r="O113" s="68"/>
      <c r="P113" s="68"/>
      <c r="Q113" s="75"/>
      <c r="R113" s="75"/>
      <c r="S113" s="75"/>
      <c r="T113" s="75"/>
      <c r="U113" s="75"/>
      <c r="V113" s="75"/>
      <c r="W113" s="75"/>
      <c r="X113" s="75"/>
      <c r="Y113" s="75"/>
      <c r="Z113" s="75"/>
      <c r="AA113" s="75"/>
      <c r="AB113" s="75"/>
      <c r="AC113" s="75"/>
      <c r="AD113" s="75"/>
    </row>
    <row r="114" spans="1:30" ht="220.5">
      <c r="A114" s="61" t="str">
        <f>IF(AND(G114="",G114=""),"",$D$3&amp;"_"&amp;ROW()-13-COUNTBLANK($G$14:G114))</f>
        <v>JD_84</v>
      </c>
      <c r="B114" s="110"/>
      <c r="C114" s="68" t="s">
        <v>520</v>
      </c>
      <c r="D114" s="68" t="s">
        <v>521</v>
      </c>
      <c r="E114" s="68" t="s">
        <v>522</v>
      </c>
      <c r="F114" s="68" t="s">
        <v>254</v>
      </c>
      <c r="G114" s="68" t="s">
        <v>523</v>
      </c>
      <c r="H114" s="65" t="s">
        <v>83</v>
      </c>
      <c r="I114" s="65" t="s">
        <v>75</v>
      </c>
      <c r="J114" s="65"/>
      <c r="K114" s="65"/>
      <c r="L114" s="65"/>
      <c r="M114" s="66"/>
      <c r="N114" s="67" t="str">
        <f>IF(OR(IF(M114="",IF(L114="",IF(K114="","",K114),L114),M114)="F")=TRUE,"F",IF(OR(IF(M114="",IF(L114="",IF(K114="","",K114),L114),M114)="PE")=TRUE,"PE",IF(AND(IF(M114="",IF(L114="",IF(K114="","",K114),L114),M114)="")=TRUE,"","P")))</f>
        <v/>
      </c>
      <c r="O114" s="68"/>
      <c r="P114" s="68"/>
      <c r="Q114" s="75"/>
      <c r="R114" s="75"/>
      <c r="S114" s="75"/>
      <c r="T114" s="75"/>
      <c r="U114" s="75"/>
      <c r="V114" s="75"/>
      <c r="W114" s="75"/>
      <c r="X114" s="75"/>
      <c r="Y114" s="75"/>
      <c r="Z114" s="75"/>
      <c r="AA114" s="75"/>
      <c r="AB114" s="75"/>
      <c r="AC114" s="75"/>
      <c r="AD114" s="75"/>
    </row>
    <row r="115" spans="1:30" ht="220.5">
      <c r="A115" s="61" t="str">
        <f>IF(AND(G115="",G115=""),"",$D$3&amp;"_"&amp;ROW()-13-COUNTBLANK($G$14:G115))</f>
        <v>JD_85</v>
      </c>
      <c r="B115" s="111"/>
      <c r="C115" s="68" t="s">
        <v>179</v>
      </c>
      <c r="D115" s="68" t="s">
        <v>524</v>
      </c>
      <c r="E115" s="68" t="s">
        <v>525</v>
      </c>
      <c r="F115" s="68" t="s">
        <v>254</v>
      </c>
      <c r="G115" s="68" t="s">
        <v>514</v>
      </c>
      <c r="H115" s="65" t="s">
        <v>83</v>
      </c>
      <c r="I115" s="65" t="s">
        <v>75</v>
      </c>
      <c r="J115" s="65"/>
      <c r="K115" s="65"/>
      <c r="L115" s="65"/>
      <c r="M115" s="66"/>
      <c r="N115" s="67" t="str">
        <f>IF(OR(IF(M115="",IF(L115="",IF(K115="","",K115),L115),M115)="F")=TRUE,"F",IF(OR(IF(M115="",IF(L115="",IF(K115="","",K115),L115),M115)="PE")=TRUE,"PE",IF(AND(IF(M115="",IF(L115="",IF(K115="","",K115),L115),M115)="")=TRUE,"","P")))</f>
        <v/>
      </c>
      <c r="O115" s="68"/>
      <c r="P115" s="68"/>
      <c r="Q115" s="75"/>
      <c r="R115" s="75"/>
      <c r="S115" s="75"/>
      <c r="T115" s="75"/>
      <c r="U115" s="75"/>
      <c r="V115" s="75"/>
      <c r="W115" s="75"/>
      <c r="X115" s="75"/>
      <c r="Y115" s="75"/>
      <c r="Z115" s="75"/>
      <c r="AA115" s="75"/>
      <c r="AB115" s="75"/>
      <c r="AC115" s="75"/>
      <c r="AD115" s="7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Trang bìa</vt:lpstr>
      <vt:lpstr>Tổng hợp</vt:lpstr>
      <vt:lpstr>API_dang_nhap_extension</vt:lpstr>
      <vt:lpstr>API_lay_thong_tin_user</vt:lpstr>
      <vt:lpstr>API_lam_moi_phien_đn</vt:lpstr>
      <vt:lpstr>Convention</vt:lpstr>
      <vt:lpstr>API_lay_DS_JD_da_dong_bo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Annnnnn</dc:creator>
  <cp:lastModifiedBy>Admin</cp:lastModifiedBy>
  <dcterms:created xsi:type="dcterms:W3CDTF">2026-07-21T08:22:38Z</dcterms:created>
  <dcterms:modified xsi:type="dcterms:W3CDTF">2026-07-22T08:53:45Z</dcterms:modified>
</cp:coreProperties>
</file>